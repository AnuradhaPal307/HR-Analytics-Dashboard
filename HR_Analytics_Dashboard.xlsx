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15" windowWidth="16095" windowHeight="9660"/>
  </bookViews>
  <sheets>
    <sheet name="HR_Data_Cleaned" sheetId="1" r:id="rId1"/>
    <sheet name="Analysis" sheetId="2" r:id="rId2"/>
    <sheet name="Dashboard" sheetId="3" r:id="rId3"/>
  </sheets>
  <calcPr calcId="144525"/>
  <pivotCaches>
    <pivotCache cacheId="0" r:id="rId4"/>
  </pivotCaches>
</workbook>
</file>

<file path=xl/calcChain.xml><?xml version="1.0" encoding="utf-8"?>
<calcChain xmlns="http://schemas.openxmlformats.org/spreadsheetml/2006/main">
  <c r="K1879" i="1" l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1872" i="1"/>
  <c r="K1873" i="1"/>
  <c r="K1874" i="1"/>
  <c r="K1875" i="1"/>
  <c r="K1876" i="1"/>
  <c r="K1877" i="1"/>
  <c r="K1878" i="1"/>
  <c r="K1866" i="1"/>
  <c r="K1867" i="1"/>
  <c r="K1868" i="1"/>
  <c r="K1869" i="1"/>
  <c r="K1870" i="1"/>
  <c r="K1871" i="1"/>
  <c r="K1857" i="1"/>
  <c r="K1858" i="1"/>
  <c r="K1859" i="1"/>
  <c r="K1860" i="1"/>
  <c r="K1861" i="1"/>
  <c r="K1862" i="1"/>
  <c r="K1863" i="1"/>
  <c r="K1864" i="1"/>
  <c r="K1865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3" i="1"/>
  <c r="K4" i="1"/>
  <c r="K5" i="1"/>
  <c r="K6" i="1"/>
  <c r="K7" i="1"/>
  <c r="K2" i="1"/>
  <c r="B6" i="2"/>
  <c r="G7" i="3" s="1"/>
  <c r="B7" i="2"/>
  <c r="B5" i="2"/>
  <c r="B3" i="2"/>
  <c r="B2" i="2"/>
  <c r="A7" i="3" s="1"/>
  <c r="B4" i="2" l="1"/>
  <c r="E7" i="3" s="1"/>
  <c r="C7" i="3"/>
  <c r="B8" i="2"/>
  <c r="J7" i="3" s="1"/>
</calcChain>
</file>

<file path=xl/sharedStrings.xml><?xml version="1.0" encoding="utf-8"?>
<sst xmlns="http://schemas.openxmlformats.org/spreadsheetml/2006/main" count="12073" uniqueCount="2049">
  <si>
    <t>Name</t>
  </si>
  <si>
    <t>Department</t>
  </si>
  <si>
    <t>Gender</t>
  </si>
  <si>
    <t>Education</t>
  </si>
  <si>
    <t>Age</t>
  </si>
  <si>
    <t>Salary</t>
  </si>
  <si>
    <t>Bonus</t>
  </si>
  <si>
    <t>Attrition</t>
  </si>
  <si>
    <t>Sales</t>
  </si>
  <si>
    <t>IT</t>
  </si>
  <si>
    <t>Finance</t>
  </si>
  <si>
    <t>Operations</t>
  </si>
  <si>
    <t>HR</t>
  </si>
  <si>
    <t>hr</t>
  </si>
  <si>
    <t>Male</t>
  </si>
  <si>
    <t>Female</t>
  </si>
  <si>
    <t>Manager</t>
  </si>
  <si>
    <t>Consultant</t>
  </si>
  <si>
    <t>Executive</t>
  </si>
  <si>
    <t>Engineer</t>
  </si>
  <si>
    <t>Analyst</t>
  </si>
  <si>
    <t>High School</t>
  </si>
  <si>
    <t>Masters</t>
  </si>
  <si>
    <t>PhD</t>
  </si>
  <si>
    <t>Bachelors</t>
  </si>
  <si>
    <t>No</t>
  </si>
  <si>
    <t>Yes</t>
  </si>
  <si>
    <t>Unknown</t>
  </si>
  <si>
    <t>KPI</t>
  </si>
  <si>
    <t>Value</t>
  </si>
  <si>
    <t>Total Employees</t>
  </si>
  <si>
    <t>Attrition Count</t>
  </si>
  <si>
    <t>Attrition Rate</t>
  </si>
  <si>
    <t>Average Age</t>
  </si>
  <si>
    <t>Average Salary</t>
  </si>
  <si>
    <t>Average Bonus</t>
  </si>
  <si>
    <t>Average Total Compensation</t>
  </si>
  <si>
    <t>Row Labels</t>
  </si>
  <si>
    <t>Grand Total</t>
  </si>
  <si>
    <t>TotalCoMalepensation</t>
  </si>
  <si>
    <t>Employee_ID</t>
  </si>
  <si>
    <t>Job_Role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</si>
  <si>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</si>
  <si>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</si>
  <si>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</si>
  <si>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</si>
  <si>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</si>
  <si>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</si>
  <si>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</si>
  <si>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</si>
  <si>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</si>
  <si>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</si>
  <si>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</si>
  <si>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</si>
  <si>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</si>
  <si>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</si>
  <si>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</si>
  <si>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</si>
  <si>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</si>
  <si>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</si>
  <si>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</si>
  <si>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</si>
  <si>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</si>
  <si>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</si>
  <si>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</si>
  <si>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</si>
  <si>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</si>
  <si>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</si>
  <si>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</si>
  <si>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</si>
  <si>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</si>
  <si>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Emp_30</t>
  </si>
  <si>
    <t>Emp_31</t>
  </si>
  <si>
    <t>Emp_32</t>
  </si>
  <si>
    <t>Emp_33</t>
  </si>
  <si>
    <t>Emp_34</t>
  </si>
  <si>
    <t>Emp_35</t>
  </si>
  <si>
    <t>Emp_36</t>
  </si>
  <si>
    <t>Emp_37</t>
  </si>
  <si>
    <t>Emp_38</t>
  </si>
  <si>
    <t>Emp_39</t>
  </si>
  <si>
    <t>Emp_40</t>
  </si>
  <si>
    <t>Emp_41</t>
  </si>
  <si>
    <t>Emp_42</t>
  </si>
  <si>
    <t>Emp_43</t>
  </si>
  <si>
    <t>Emp_44</t>
  </si>
  <si>
    <t>Emp_45</t>
  </si>
  <si>
    <t>Emp_46</t>
  </si>
  <si>
    <t>Emp_47</t>
  </si>
  <si>
    <t>Emp_48</t>
  </si>
  <si>
    <t>Emp_49</t>
  </si>
  <si>
    <t>Emp_50</t>
  </si>
  <si>
    <t>Emp_51</t>
  </si>
  <si>
    <t>Emp_52</t>
  </si>
  <si>
    <t>Emp_53</t>
  </si>
  <si>
    <t>Emp_54</t>
  </si>
  <si>
    <t>Emp_55</t>
  </si>
  <si>
    <t>Emp_56</t>
  </si>
  <si>
    <t>Emp_57</t>
  </si>
  <si>
    <t>Emp_58</t>
  </si>
  <si>
    <t>Emp_59</t>
  </si>
  <si>
    <t>Emp_60</t>
  </si>
  <si>
    <t>Emp_61</t>
  </si>
  <si>
    <t>Emp_62</t>
  </si>
  <si>
    <t>Emp_63</t>
  </si>
  <si>
    <t>Emp_64</t>
  </si>
  <si>
    <t>Emp_65</t>
  </si>
  <si>
    <t>Emp_66</t>
  </si>
  <si>
    <t>Emp_67</t>
  </si>
  <si>
    <t>Emp_68</t>
  </si>
  <si>
    <t>Emp_69</t>
  </si>
  <si>
    <t>Emp_70</t>
  </si>
  <si>
    <t>Emp_71</t>
  </si>
  <si>
    <t>Emp_72</t>
  </si>
  <si>
    <t>Emp_73</t>
  </si>
  <si>
    <t>Emp_74</t>
  </si>
  <si>
    <t>Emp_75</t>
  </si>
  <si>
    <t>Emp_76</t>
  </si>
  <si>
    <t>Emp_77</t>
  </si>
  <si>
    <t>Emp_78</t>
  </si>
  <si>
    <t>Emp_79</t>
  </si>
  <si>
    <t>Emp_80</t>
  </si>
  <si>
    <t>Emp_81</t>
  </si>
  <si>
    <t>Emp_82</t>
  </si>
  <si>
    <t>Emp_83</t>
  </si>
  <si>
    <t>Emp_84</t>
  </si>
  <si>
    <t>Emp_85</t>
  </si>
  <si>
    <t>Emp_86</t>
  </si>
  <si>
    <t>Emp_87</t>
  </si>
  <si>
    <t>Emp_88</t>
  </si>
  <si>
    <t>Emp_89</t>
  </si>
  <si>
    <t>Emp_90</t>
  </si>
  <si>
    <t>Emp_91</t>
  </si>
  <si>
    <t>Emp_92</t>
  </si>
  <si>
    <t>Emp_93</t>
  </si>
  <si>
    <t>Emp_94</t>
  </si>
  <si>
    <t>Emp_95</t>
  </si>
  <si>
    <t>Emp_96</t>
  </si>
  <si>
    <t>Emp_97</t>
  </si>
  <si>
    <t>Emp_98</t>
  </si>
  <si>
    <t>Emp_99</t>
  </si>
  <si>
    <t>Emp_100</t>
  </si>
  <si>
    <t>Emp_101</t>
  </si>
  <si>
    <t>Emp_102</t>
  </si>
  <si>
    <t>Emp_103</t>
  </si>
  <si>
    <t>Emp_104</t>
  </si>
  <si>
    <t>Emp_105</t>
  </si>
  <si>
    <t>Emp_106</t>
  </si>
  <si>
    <t>Emp_107</t>
  </si>
  <si>
    <t>Emp_108</t>
  </si>
  <si>
    <t>Emp_109</t>
  </si>
  <si>
    <t>Emp_110</t>
  </si>
  <si>
    <t>Emp_111</t>
  </si>
  <si>
    <t>Emp_112</t>
  </si>
  <si>
    <t>Emp_113</t>
  </si>
  <si>
    <t>Emp_114</t>
  </si>
  <si>
    <t>Emp_115</t>
  </si>
  <si>
    <t>Emp_116</t>
  </si>
  <si>
    <t>Emp_117</t>
  </si>
  <si>
    <t>Emp_118</t>
  </si>
  <si>
    <t>Emp_119</t>
  </si>
  <si>
    <t>Emp_120</t>
  </si>
  <si>
    <t>Emp_121</t>
  </si>
  <si>
    <t>Emp_122</t>
  </si>
  <si>
    <t>Emp_123</t>
  </si>
  <si>
    <t>Emp_124</t>
  </si>
  <si>
    <t>Emp_125</t>
  </si>
  <si>
    <t>Emp_126</t>
  </si>
  <si>
    <t>Emp_127</t>
  </si>
  <si>
    <t>Emp_128</t>
  </si>
  <si>
    <t>Emp_129</t>
  </si>
  <si>
    <t>Emp_130</t>
  </si>
  <si>
    <t>Emp_131</t>
  </si>
  <si>
    <t>Emp_132</t>
  </si>
  <si>
    <t>Emp_133</t>
  </si>
  <si>
    <t>Emp_134</t>
  </si>
  <si>
    <t>Emp_135</t>
  </si>
  <si>
    <t>Emp_136</t>
  </si>
  <si>
    <t>Emp_137</t>
  </si>
  <si>
    <t>Emp_138</t>
  </si>
  <si>
    <t>Emp_139</t>
  </si>
  <si>
    <t>Emp_140</t>
  </si>
  <si>
    <t>Emp_141</t>
  </si>
  <si>
    <t>Emp_142</t>
  </si>
  <si>
    <t>Emp_143</t>
  </si>
  <si>
    <t>Emp_144</t>
  </si>
  <si>
    <t>Emp_145</t>
  </si>
  <si>
    <t>Emp_146</t>
  </si>
  <si>
    <t>Emp_147</t>
  </si>
  <si>
    <t>Emp_148</t>
  </si>
  <si>
    <t>Emp_149</t>
  </si>
  <si>
    <t>Emp_150</t>
  </si>
  <si>
    <t>Emp_151</t>
  </si>
  <si>
    <t>Emp_152</t>
  </si>
  <si>
    <t>Emp_153</t>
  </si>
  <si>
    <t>Emp_154</t>
  </si>
  <si>
    <t>Emp_155</t>
  </si>
  <si>
    <t>Emp_156</t>
  </si>
  <si>
    <t>Emp_157</t>
  </si>
  <si>
    <t>Emp_158</t>
  </si>
  <si>
    <t>Emp_159</t>
  </si>
  <si>
    <t>Emp_160</t>
  </si>
  <si>
    <t>Emp_161</t>
  </si>
  <si>
    <t>Emp_162</t>
  </si>
  <si>
    <t>Emp_163</t>
  </si>
  <si>
    <t>Emp_164</t>
  </si>
  <si>
    <t>Emp_165</t>
  </si>
  <si>
    <t>Emp_166</t>
  </si>
  <si>
    <t>Emp_167</t>
  </si>
  <si>
    <t>Emp_168</t>
  </si>
  <si>
    <t>Emp_169</t>
  </si>
  <si>
    <t>Emp_170</t>
  </si>
  <si>
    <t>Emp_171</t>
  </si>
  <si>
    <t>Emp_172</t>
  </si>
  <si>
    <t>Emp_173</t>
  </si>
  <si>
    <t>Emp_174</t>
  </si>
  <si>
    <t>Emp_175</t>
  </si>
  <si>
    <t>Emp_176</t>
  </si>
  <si>
    <t>Emp_177</t>
  </si>
  <si>
    <t>Emp_178</t>
  </si>
  <si>
    <t>Emp_179</t>
  </si>
  <si>
    <t>Emp_180</t>
  </si>
  <si>
    <t>Emp_181</t>
  </si>
  <si>
    <t>Emp_182</t>
  </si>
  <si>
    <t>Emp_183</t>
  </si>
  <si>
    <t>Emp_184</t>
  </si>
  <si>
    <t>Emp_185</t>
  </si>
  <si>
    <t>Emp_186</t>
  </si>
  <si>
    <t>Emp_187</t>
  </si>
  <si>
    <t>Emp_188</t>
  </si>
  <si>
    <t>Emp_189</t>
  </si>
  <si>
    <t>Emp_190</t>
  </si>
  <si>
    <t>Emp_191</t>
  </si>
  <si>
    <t>Emp_192</t>
  </si>
  <si>
    <t>Emp_193</t>
  </si>
  <si>
    <t>Emp_194</t>
  </si>
  <si>
    <t>Emp_195</t>
  </si>
  <si>
    <t>Emp_196</t>
  </si>
  <si>
    <t>Emp_197</t>
  </si>
  <si>
    <t>Emp_198</t>
  </si>
  <si>
    <t>Emp_199</t>
  </si>
  <si>
    <t>Emp_200</t>
  </si>
  <si>
    <t>Emp_201</t>
  </si>
  <si>
    <t>Emp_202</t>
  </si>
  <si>
    <t>Emp_203</t>
  </si>
  <si>
    <t>Emp_204</t>
  </si>
  <si>
    <t>Emp_205</t>
  </si>
  <si>
    <t>Emp_206</t>
  </si>
  <si>
    <t>Emp_207</t>
  </si>
  <si>
    <t>Emp_208</t>
  </si>
  <si>
    <t>Emp_209</t>
  </si>
  <si>
    <t>Emp_210</t>
  </si>
  <si>
    <t>Emp_211</t>
  </si>
  <si>
    <t>Emp_212</t>
  </si>
  <si>
    <t>Emp_213</t>
  </si>
  <si>
    <t>Emp_214</t>
  </si>
  <si>
    <t>Emp_215</t>
  </si>
  <si>
    <t>Emp_216</t>
  </si>
  <si>
    <t>Emp_217</t>
  </si>
  <si>
    <t>Emp_218</t>
  </si>
  <si>
    <t>Emp_219</t>
  </si>
  <si>
    <t>Emp_220</t>
  </si>
  <si>
    <t>Emp_221</t>
  </si>
  <si>
    <t>Emp_222</t>
  </si>
  <si>
    <t>Emp_223</t>
  </si>
  <si>
    <t>Emp_224</t>
  </si>
  <si>
    <t>Emp_225</t>
  </si>
  <si>
    <t>Emp_226</t>
  </si>
  <si>
    <t>Emp_227</t>
  </si>
  <si>
    <t>Emp_228</t>
  </si>
  <si>
    <t>Emp_229</t>
  </si>
  <si>
    <t>Emp_230</t>
  </si>
  <si>
    <t>Emp_231</t>
  </si>
  <si>
    <t>Emp_232</t>
  </si>
  <si>
    <t>Emp_233</t>
  </si>
  <si>
    <t>Emp_234</t>
  </si>
  <si>
    <t>Emp_235</t>
  </si>
  <si>
    <t>Emp_236</t>
  </si>
  <si>
    <t>Emp_237</t>
  </si>
  <si>
    <t>Emp_238</t>
  </si>
  <si>
    <t>Emp_239</t>
  </si>
  <si>
    <t>Emp_240</t>
  </si>
  <si>
    <t>Emp_241</t>
  </si>
  <si>
    <t>Emp_242</t>
  </si>
  <si>
    <t>Emp_243</t>
  </si>
  <si>
    <t>Emp_244</t>
  </si>
  <si>
    <t>Emp_245</t>
  </si>
  <si>
    <t>Emp_246</t>
  </si>
  <si>
    <t>Emp_247</t>
  </si>
  <si>
    <t>Emp_248</t>
  </si>
  <si>
    <t>Emp_249</t>
  </si>
  <si>
    <t>Emp_250</t>
  </si>
  <si>
    <t>Emp_251</t>
  </si>
  <si>
    <t>Emp_252</t>
  </si>
  <si>
    <t>Emp_253</t>
  </si>
  <si>
    <t>Emp_254</t>
  </si>
  <si>
    <t>Emp_255</t>
  </si>
  <si>
    <t>Emp_256</t>
  </si>
  <si>
    <t>Emp_257</t>
  </si>
  <si>
    <t>Emp_258</t>
  </si>
  <si>
    <t>Emp_259</t>
  </si>
  <si>
    <t>Emp_260</t>
  </si>
  <si>
    <t>Emp_261</t>
  </si>
  <si>
    <t>Emp_262</t>
  </si>
  <si>
    <t>Emp_263</t>
  </si>
  <si>
    <t>Emp_264</t>
  </si>
  <si>
    <t>Emp_265</t>
  </si>
  <si>
    <t>Emp_266</t>
  </si>
  <si>
    <t>Emp_267</t>
  </si>
  <si>
    <t>Emp_268</t>
  </si>
  <si>
    <t>Emp_269</t>
  </si>
  <si>
    <t>Emp_270</t>
  </si>
  <si>
    <t>Emp_271</t>
  </si>
  <si>
    <t>Emp_272</t>
  </si>
  <si>
    <t>Emp_273</t>
  </si>
  <si>
    <t>Emp_274</t>
  </si>
  <si>
    <t>Emp_275</t>
  </si>
  <si>
    <t>Emp_276</t>
  </si>
  <si>
    <t>Emp_277</t>
  </si>
  <si>
    <t>Emp_278</t>
  </si>
  <si>
    <t>Emp_279</t>
  </si>
  <si>
    <t>Emp_280</t>
  </si>
  <si>
    <t>Emp_281</t>
  </si>
  <si>
    <t>Emp_282</t>
  </si>
  <si>
    <t>Emp_283</t>
  </si>
  <si>
    <t>Emp_284</t>
  </si>
  <si>
    <t>Emp_285</t>
  </si>
  <si>
    <t>Emp_286</t>
  </si>
  <si>
    <t>Emp_287</t>
  </si>
  <si>
    <t>Emp_288</t>
  </si>
  <si>
    <t>Emp_289</t>
  </si>
  <si>
    <t>Emp_290</t>
  </si>
  <si>
    <t>Emp_291</t>
  </si>
  <si>
    <t>Emp_292</t>
  </si>
  <si>
    <t>Emp_293</t>
  </si>
  <si>
    <t>Emp_294</t>
  </si>
  <si>
    <t>Emp_295</t>
  </si>
  <si>
    <t>Emp_296</t>
  </si>
  <si>
    <t>Emp_297</t>
  </si>
  <si>
    <t>Emp_298</t>
  </si>
  <si>
    <t>Emp_299</t>
  </si>
  <si>
    <t>Emp_300</t>
  </si>
  <si>
    <t>Emp_301</t>
  </si>
  <si>
    <t>Emp_302</t>
  </si>
  <si>
    <t>Emp_303</t>
  </si>
  <si>
    <t>Emp_304</t>
  </si>
  <si>
    <t>Emp_305</t>
  </si>
  <si>
    <t>Emp_306</t>
  </si>
  <si>
    <t>Emp_307</t>
  </si>
  <si>
    <t>Emp_308</t>
  </si>
  <si>
    <t>Emp_309</t>
  </si>
  <si>
    <t>Emp_310</t>
  </si>
  <si>
    <t>Emp_311</t>
  </si>
  <si>
    <t>Emp_312</t>
  </si>
  <si>
    <t>Emp_313</t>
  </si>
  <si>
    <t>Emp_314</t>
  </si>
  <si>
    <t>Emp_315</t>
  </si>
  <si>
    <t>Emp_316</t>
  </si>
  <si>
    <t>Emp_317</t>
  </si>
  <si>
    <t>Emp_318</t>
  </si>
  <si>
    <t>Emp_319</t>
  </si>
  <si>
    <t>Emp_320</t>
  </si>
  <si>
    <t>Emp_321</t>
  </si>
  <si>
    <t>Emp_322</t>
  </si>
  <si>
    <t>Emp_323</t>
  </si>
  <si>
    <t>Emp_324</t>
  </si>
  <si>
    <t>Emp_325</t>
  </si>
  <si>
    <t>Emp_326</t>
  </si>
  <si>
    <t>Emp_327</t>
  </si>
  <si>
    <t>Emp_328</t>
  </si>
  <si>
    <t>Emp_329</t>
  </si>
  <si>
    <t>Emp_330</t>
  </si>
  <si>
    <t>Emp_331</t>
  </si>
  <si>
    <t>Emp_332</t>
  </si>
  <si>
    <t>Emp_333</t>
  </si>
  <si>
    <t>Emp_334</t>
  </si>
  <si>
    <t>Emp_335</t>
  </si>
  <si>
    <t>Emp_336</t>
  </si>
  <si>
    <t>Emp_337</t>
  </si>
  <si>
    <t>Emp_338</t>
  </si>
  <si>
    <t>Emp_339</t>
  </si>
  <si>
    <t>Emp_340</t>
  </si>
  <si>
    <t>Emp_341</t>
  </si>
  <si>
    <t>Emp_342</t>
  </si>
  <si>
    <t>Emp_343</t>
  </si>
  <si>
    <t>Emp_344</t>
  </si>
  <si>
    <t>Emp_345</t>
  </si>
  <si>
    <t>Emp_346</t>
  </si>
  <si>
    <t>Emp_347</t>
  </si>
  <si>
    <t>Emp_348</t>
  </si>
  <si>
    <t>Emp_349</t>
  </si>
  <si>
    <t>Emp_350</t>
  </si>
  <si>
    <t>Emp_351</t>
  </si>
  <si>
    <t>Emp_352</t>
  </si>
  <si>
    <t>Emp_353</t>
  </si>
  <si>
    <t>Emp_354</t>
  </si>
  <si>
    <t>Emp_355</t>
  </si>
  <si>
    <t>Emp_356</t>
  </si>
  <si>
    <t>Emp_357</t>
  </si>
  <si>
    <t>Emp_358</t>
  </si>
  <si>
    <t>Emp_359</t>
  </si>
  <si>
    <t>Emp_360</t>
  </si>
  <si>
    <t>Emp_361</t>
  </si>
  <si>
    <t>Emp_362</t>
  </si>
  <si>
    <t>Emp_363</t>
  </si>
  <si>
    <t>Emp_364</t>
  </si>
  <si>
    <t>Emp_365</t>
  </si>
  <si>
    <t>Emp_366</t>
  </si>
  <si>
    <t>Emp_367</t>
  </si>
  <si>
    <t>Emp_368</t>
  </si>
  <si>
    <t>Emp_369</t>
  </si>
  <si>
    <t>Emp_370</t>
  </si>
  <si>
    <t>Emp_371</t>
  </si>
  <si>
    <t>Emp_372</t>
  </si>
  <si>
    <t>Emp_373</t>
  </si>
  <si>
    <t>Emp_374</t>
  </si>
  <si>
    <t>Emp_375</t>
  </si>
  <si>
    <t>Emp_376</t>
  </si>
  <si>
    <t>Emp_377</t>
  </si>
  <si>
    <t>Emp_378</t>
  </si>
  <si>
    <t>Emp_379</t>
  </si>
  <si>
    <t>Emp_380</t>
  </si>
  <si>
    <t>Emp_381</t>
  </si>
  <si>
    <t>Emp_382</t>
  </si>
  <si>
    <t>Emp_383</t>
  </si>
  <si>
    <t>Emp_384</t>
  </si>
  <si>
    <t>Emp_385</t>
  </si>
  <si>
    <t>Emp_386</t>
  </si>
  <si>
    <t>Emp_387</t>
  </si>
  <si>
    <t>Emp_388</t>
  </si>
  <si>
    <t>Emp_389</t>
  </si>
  <si>
    <t>Emp_390</t>
  </si>
  <si>
    <t>Emp_391</t>
  </si>
  <si>
    <t>Emp_392</t>
  </si>
  <si>
    <t>Emp_393</t>
  </si>
  <si>
    <t>Emp_394</t>
  </si>
  <si>
    <t>Emp_395</t>
  </si>
  <si>
    <t>Emp_396</t>
  </si>
  <si>
    <t>Emp_397</t>
  </si>
  <si>
    <t>Emp_398</t>
  </si>
  <si>
    <t>Emp_399</t>
  </si>
  <si>
    <t>Emp_400</t>
  </si>
  <si>
    <t>Emp_401</t>
  </si>
  <si>
    <t>Emp_402</t>
  </si>
  <si>
    <t>Emp_403</t>
  </si>
  <si>
    <t>Emp_404</t>
  </si>
  <si>
    <t>Emp_405</t>
  </si>
  <si>
    <t>Emp_406</t>
  </si>
  <si>
    <t>Emp_407</t>
  </si>
  <si>
    <t>Emp_408</t>
  </si>
  <si>
    <t>Emp_409</t>
  </si>
  <si>
    <t>Emp_410</t>
  </si>
  <si>
    <t>Emp_411</t>
  </si>
  <si>
    <t>Emp_412</t>
  </si>
  <si>
    <t>Emp_413</t>
  </si>
  <si>
    <t>Emp_414</t>
  </si>
  <si>
    <t>Emp_415</t>
  </si>
  <si>
    <t>Emp_416</t>
  </si>
  <si>
    <t>Emp_417</t>
  </si>
  <si>
    <t>Emp_418</t>
  </si>
  <si>
    <t>Emp_419</t>
  </si>
  <si>
    <t>Emp_420</t>
  </si>
  <si>
    <t>Emp_421</t>
  </si>
  <si>
    <t>Emp_422</t>
  </si>
  <si>
    <t>Emp_423</t>
  </si>
  <si>
    <t>Emp_424</t>
  </si>
  <si>
    <t>Emp_425</t>
  </si>
  <si>
    <t>Emp_426</t>
  </si>
  <si>
    <t>Emp_427</t>
  </si>
  <si>
    <t>Emp_428</t>
  </si>
  <si>
    <t>Emp_429</t>
  </si>
  <si>
    <t>Emp_430</t>
  </si>
  <si>
    <t>Emp_431</t>
  </si>
  <si>
    <t>Emp_432</t>
  </si>
  <si>
    <t>Emp_433</t>
  </si>
  <si>
    <t>Emp_434</t>
  </si>
  <si>
    <t>Emp_435</t>
  </si>
  <si>
    <t>Emp_436</t>
  </si>
  <si>
    <t>Emp_437</t>
  </si>
  <si>
    <t>Emp_438</t>
  </si>
  <si>
    <t>Emp_439</t>
  </si>
  <si>
    <t>Emp_440</t>
  </si>
  <si>
    <t>Emp_441</t>
  </si>
  <si>
    <t>Emp_442</t>
  </si>
  <si>
    <t>Emp_443</t>
  </si>
  <si>
    <t>Emp_444</t>
  </si>
  <si>
    <t>Emp_445</t>
  </si>
  <si>
    <t>Emp_446</t>
  </si>
  <si>
    <t>Emp_447</t>
  </si>
  <si>
    <t>Emp_448</t>
  </si>
  <si>
    <t>Emp_449</t>
  </si>
  <si>
    <t>Emp_450</t>
  </si>
  <si>
    <t>Emp_451</t>
  </si>
  <si>
    <t>Emp_452</t>
  </si>
  <si>
    <t>Emp_453</t>
  </si>
  <si>
    <t>Emp_454</t>
  </si>
  <si>
    <t>Emp_455</t>
  </si>
  <si>
    <t>Emp_456</t>
  </si>
  <si>
    <t>Emp_457</t>
  </si>
  <si>
    <t>Emp_458</t>
  </si>
  <si>
    <t>Emp_459</t>
  </si>
  <si>
    <t>Emp_460</t>
  </si>
  <si>
    <t>Emp_461</t>
  </si>
  <si>
    <t>Emp_462</t>
  </si>
  <si>
    <t>Emp_463</t>
  </si>
  <si>
    <t>Emp_464</t>
  </si>
  <si>
    <t>Emp_465</t>
  </si>
  <si>
    <t>Emp_466</t>
  </si>
  <si>
    <t>Emp_467</t>
  </si>
  <si>
    <t>Emp_468</t>
  </si>
  <si>
    <t>Emp_469</t>
  </si>
  <si>
    <t>Emp_470</t>
  </si>
  <si>
    <t>Emp_471</t>
  </si>
  <si>
    <t>Emp_472</t>
  </si>
  <si>
    <t>Emp_473</t>
  </si>
  <si>
    <t>Emp_474</t>
  </si>
  <si>
    <t>Emp_475</t>
  </si>
  <si>
    <t>Emp_476</t>
  </si>
  <si>
    <t>Emp_477</t>
  </si>
  <si>
    <t>Emp_478</t>
  </si>
  <si>
    <t>Emp_479</t>
  </si>
  <si>
    <t>Emp_480</t>
  </si>
  <si>
    <t>Emp_481</t>
  </si>
  <si>
    <t>Emp_482</t>
  </si>
  <si>
    <t>Emp_483</t>
  </si>
  <si>
    <t>Emp_484</t>
  </si>
  <si>
    <t>Emp_485</t>
  </si>
  <si>
    <t>Emp_486</t>
  </si>
  <si>
    <t>Emp_487</t>
  </si>
  <si>
    <t>Emp_488</t>
  </si>
  <si>
    <t>Emp_489</t>
  </si>
  <si>
    <t>Emp_490</t>
  </si>
  <si>
    <t>Emp_491</t>
  </si>
  <si>
    <t>Emp_492</t>
  </si>
  <si>
    <t>Emp_493</t>
  </si>
  <si>
    <t>Emp_494</t>
  </si>
  <si>
    <t>Emp_495</t>
  </si>
  <si>
    <t>Emp_496</t>
  </si>
  <si>
    <t>Emp_497</t>
  </si>
  <si>
    <t>Emp_498</t>
  </si>
  <si>
    <t>Emp_499</t>
  </si>
  <si>
    <t>Emp_500</t>
  </si>
  <si>
    <t>Emp_501</t>
  </si>
  <si>
    <t>Emp_502</t>
  </si>
  <si>
    <t>Emp_503</t>
  </si>
  <si>
    <t>Emp_504</t>
  </si>
  <si>
    <t>Emp_505</t>
  </si>
  <si>
    <t>Emp_506</t>
  </si>
  <si>
    <t>Emp_507</t>
  </si>
  <si>
    <t>Emp_508</t>
  </si>
  <si>
    <t>Emp_509</t>
  </si>
  <si>
    <t>Emp_510</t>
  </si>
  <si>
    <t>Emp_511</t>
  </si>
  <si>
    <t>Emp_512</t>
  </si>
  <si>
    <t>Emp_513</t>
  </si>
  <si>
    <t>Emp_514</t>
  </si>
  <si>
    <t>Emp_515</t>
  </si>
  <si>
    <t>Emp_516</t>
  </si>
  <si>
    <t>Emp_517</t>
  </si>
  <si>
    <t>Emp_518</t>
  </si>
  <si>
    <t>Emp_519</t>
  </si>
  <si>
    <t>Emp_520</t>
  </si>
  <si>
    <t>Emp_521</t>
  </si>
  <si>
    <t>Emp_522</t>
  </si>
  <si>
    <t>Emp_523</t>
  </si>
  <si>
    <t>Emp_524</t>
  </si>
  <si>
    <t>Emp_525</t>
  </si>
  <si>
    <t>Emp_526</t>
  </si>
  <si>
    <t>Emp_527</t>
  </si>
  <si>
    <t>Emp_528</t>
  </si>
  <si>
    <t>Emp_529</t>
  </si>
  <si>
    <t>Emp_530</t>
  </si>
  <si>
    <t>Emp_531</t>
  </si>
  <si>
    <t>Emp_532</t>
  </si>
  <si>
    <t>Emp_533</t>
  </si>
  <si>
    <t>Emp_534</t>
  </si>
  <si>
    <t>Emp_535</t>
  </si>
  <si>
    <t>Emp_536</t>
  </si>
  <si>
    <t>Emp_537</t>
  </si>
  <si>
    <t>Emp_538</t>
  </si>
  <si>
    <t>Emp_539</t>
  </si>
  <si>
    <t>Emp_540</t>
  </si>
  <si>
    <t>Emp_541</t>
  </si>
  <si>
    <t>Emp_542</t>
  </si>
  <si>
    <t>Emp_543</t>
  </si>
  <si>
    <t>Emp_544</t>
  </si>
  <si>
    <t>Emp_545</t>
  </si>
  <si>
    <t>Emp_546</t>
  </si>
  <si>
    <t>Emp_547</t>
  </si>
  <si>
    <t>Emp_548</t>
  </si>
  <si>
    <t>Emp_549</t>
  </si>
  <si>
    <t>Emp_550</t>
  </si>
  <si>
    <t>Emp_551</t>
  </si>
  <si>
    <t>Emp_552</t>
  </si>
  <si>
    <t>Emp_553</t>
  </si>
  <si>
    <t>Emp_554</t>
  </si>
  <si>
    <t>Emp_555</t>
  </si>
  <si>
    <t>Emp_556</t>
  </si>
  <si>
    <t>Emp_557</t>
  </si>
  <si>
    <t>Emp_558</t>
  </si>
  <si>
    <t>Emp_559</t>
  </si>
  <si>
    <t>Emp_560</t>
  </si>
  <si>
    <t>Emp_561</t>
  </si>
  <si>
    <t>Emp_562</t>
  </si>
  <si>
    <t>Emp_563</t>
  </si>
  <si>
    <t>Emp_564</t>
  </si>
  <si>
    <t>Emp_565</t>
  </si>
  <si>
    <t>Emp_566</t>
  </si>
  <si>
    <t>Emp_567</t>
  </si>
  <si>
    <t>Emp_568</t>
  </si>
  <si>
    <t>Emp_569</t>
  </si>
  <si>
    <t>Emp_570</t>
  </si>
  <si>
    <t>Emp_571</t>
  </si>
  <si>
    <t>Emp_572</t>
  </si>
  <si>
    <t>Emp_573</t>
  </si>
  <si>
    <t>Emp_574</t>
  </si>
  <si>
    <t>Emp_575</t>
  </si>
  <si>
    <t>Emp_576</t>
  </si>
  <si>
    <t>Emp_577</t>
  </si>
  <si>
    <t>Emp_578</t>
  </si>
  <si>
    <t>Emp_579</t>
  </si>
  <si>
    <t>Emp_580</t>
  </si>
  <si>
    <t>Emp_581</t>
  </si>
  <si>
    <t>Emp_582</t>
  </si>
  <si>
    <t>Emp_583</t>
  </si>
  <si>
    <t>Emp_584</t>
  </si>
  <si>
    <t>Emp_585</t>
  </si>
  <si>
    <t>Emp_586</t>
  </si>
  <si>
    <t>Emp_587</t>
  </si>
  <si>
    <t>Emp_588</t>
  </si>
  <si>
    <t>Emp_589</t>
  </si>
  <si>
    <t>Emp_590</t>
  </si>
  <si>
    <t>Emp_591</t>
  </si>
  <si>
    <t>Emp_592</t>
  </si>
  <si>
    <t>Emp_593</t>
  </si>
  <si>
    <t>Emp_594</t>
  </si>
  <si>
    <t>Emp_595</t>
  </si>
  <si>
    <t>Emp_596</t>
  </si>
  <si>
    <t>Emp_597</t>
  </si>
  <si>
    <t>Emp_598</t>
  </si>
  <si>
    <t>Emp_599</t>
  </si>
  <si>
    <t>Emp_600</t>
  </si>
  <si>
    <t>Emp_601</t>
  </si>
  <si>
    <t>Emp_602</t>
  </si>
  <si>
    <t>Emp_603</t>
  </si>
  <si>
    <t>Emp_604</t>
  </si>
  <si>
    <t>Emp_605</t>
  </si>
  <si>
    <t>Emp_606</t>
  </si>
  <si>
    <t>Emp_607</t>
  </si>
  <si>
    <t>Emp_608</t>
  </si>
  <si>
    <t>Emp_609</t>
  </si>
  <si>
    <t>Emp_610</t>
  </si>
  <si>
    <t>Emp_611</t>
  </si>
  <si>
    <t>Emp_612</t>
  </si>
  <si>
    <t>Emp_613</t>
  </si>
  <si>
    <t>Emp_614</t>
  </si>
  <si>
    <t>Emp_615</t>
  </si>
  <si>
    <t>Emp_616</t>
  </si>
  <si>
    <t>Emp_617</t>
  </si>
  <si>
    <t>Emp_618</t>
  </si>
  <si>
    <t>Emp_619</t>
  </si>
  <si>
    <t>Emp_620</t>
  </si>
  <si>
    <t>Emp_621</t>
  </si>
  <si>
    <t>Emp_622</t>
  </si>
  <si>
    <t>Emp_623</t>
  </si>
  <si>
    <t>Emp_624</t>
  </si>
  <si>
    <t>Emp_625</t>
  </si>
  <si>
    <t>Emp_626</t>
  </si>
  <si>
    <t>Emp_627</t>
  </si>
  <si>
    <t>Emp_628</t>
  </si>
  <si>
    <t>Emp_629</t>
  </si>
  <si>
    <t>Emp_630</t>
  </si>
  <si>
    <t>Emp_631</t>
  </si>
  <si>
    <t>Emp_632</t>
  </si>
  <si>
    <t>Emp_633</t>
  </si>
  <si>
    <t>Emp_634</t>
  </si>
  <si>
    <t>Emp_635</t>
  </si>
  <si>
    <t>Emp_636</t>
  </si>
  <si>
    <t>Emp_637</t>
  </si>
  <si>
    <t>Emp_638</t>
  </si>
  <si>
    <t>Emp_639</t>
  </si>
  <si>
    <t>Emp_640</t>
  </si>
  <si>
    <t>Emp_641</t>
  </si>
  <si>
    <t>Emp_642</t>
  </si>
  <si>
    <t>Emp_643</t>
  </si>
  <si>
    <t>Emp_644</t>
  </si>
  <si>
    <t>Emp_645</t>
  </si>
  <si>
    <t>Emp_646</t>
  </si>
  <si>
    <t>Emp_647</t>
  </si>
  <si>
    <t>Emp_648</t>
  </si>
  <si>
    <t>Emp_649</t>
  </si>
  <si>
    <t>Emp_650</t>
  </si>
  <si>
    <t>Emp_651</t>
  </si>
  <si>
    <t>Emp_652</t>
  </si>
  <si>
    <t>Emp_653</t>
  </si>
  <si>
    <t>Emp_654</t>
  </si>
  <si>
    <t>Emp_655</t>
  </si>
  <si>
    <t>Emp_656</t>
  </si>
  <si>
    <t>Emp_657</t>
  </si>
  <si>
    <t>Emp_658</t>
  </si>
  <si>
    <t>Emp_659</t>
  </si>
  <si>
    <t>Emp_660</t>
  </si>
  <si>
    <t>Emp_661</t>
  </si>
  <si>
    <t>Emp_662</t>
  </si>
  <si>
    <t>Emp_663</t>
  </si>
  <si>
    <t>Emp_664</t>
  </si>
  <si>
    <t>Emp_665</t>
  </si>
  <si>
    <t>Emp_666</t>
  </si>
  <si>
    <t>Emp_667</t>
  </si>
  <si>
    <t>Emp_668</t>
  </si>
  <si>
    <t>Emp_669</t>
  </si>
  <si>
    <t>Emp_670</t>
  </si>
  <si>
    <t>Emp_671</t>
  </si>
  <si>
    <t>Emp_672</t>
  </si>
  <si>
    <t>Emp_673</t>
  </si>
  <si>
    <t>Emp_674</t>
  </si>
  <si>
    <t>Emp_675</t>
  </si>
  <si>
    <t>Emp_676</t>
  </si>
  <si>
    <t>Emp_677</t>
  </si>
  <si>
    <t>Emp_678</t>
  </si>
  <si>
    <t>Emp_679</t>
  </si>
  <si>
    <t>Emp_680</t>
  </si>
  <si>
    <t>Emp_681</t>
  </si>
  <si>
    <t>Emp_682</t>
  </si>
  <si>
    <t>Emp_683</t>
  </si>
  <si>
    <t>Emp_684</t>
  </si>
  <si>
    <t>Emp_685</t>
  </si>
  <si>
    <t>Emp_686</t>
  </si>
  <si>
    <t>Emp_687</t>
  </si>
  <si>
    <t>Emp_688</t>
  </si>
  <si>
    <t>Emp_689</t>
  </si>
  <si>
    <t>Emp_690</t>
  </si>
  <si>
    <t>Emp_691</t>
  </si>
  <si>
    <t>Emp_692</t>
  </si>
  <si>
    <t>Emp_693</t>
  </si>
  <si>
    <t>Emp_694</t>
  </si>
  <si>
    <t>Emp_695</t>
  </si>
  <si>
    <t>Emp_696</t>
  </si>
  <si>
    <t>Emp_697</t>
  </si>
  <si>
    <t>Emp_698</t>
  </si>
  <si>
    <t>Emp_699</t>
  </si>
  <si>
    <t>Emp_700</t>
  </si>
  <si>
    <t>Emp_701</t>
  </si>
  <si>
    <t>Emp_702</t>
  </si>
  <si>
    <t>Emp_703</t>
  </si>
  <si>
    <t>Emp_704</t>
  </si>
  <si>
    <t>Emp_705</t>
  </si>
  <si>
    <t>Emp_706</t>
  </si>
  <si>
    <t>Emp_707</t>
  </si>
  <si>
    <t>Emp_708</t>
  </si>
  <si>
    <t>Emp_709</t>
  </si>
  <si>
    <t>Emp_710</t>
  </si>
  <si>
    <t>Emp_711</t>
  </si>
  <si>
    <t>Emp_712</t>
  </si>
  <si>
    <t>Emp_713</t>
  </si>
  <si>
    <t>Emp_714</t>
  </si>
  <si>
    <t>Emp_715</t>
  </si>
  <si>
    <t>Emp_716</t>
  </si>
  <si>
    <t>Emp_717</t>
  </si>
  <si>
    <t>Emp_718</t>
  </si>
  <si>
    <t>Emp_719</t>
  </si>
  <si>
    <t>Emp_720</t>
  </si>
  <si>
    <t>Emp_721</t>
  </si>
  <si>
    <t>Emp_722</t>
  </si>
  <si>
    <t>Emp_723</t>
  </si>
  <si>
    <t>Emp_724</t>
  </si>
  <si>
    <t>Emp_725</t>
  </si>
  <si>
    <t>Emp_726</t>
  </si>
  <si>
    <t>Emp_727</t>
  </si>
  <si>
    <t>Emp_728</t>
  </si>
  <si>
    <t>Emp_729</t>
  </si>
  <si>
    <t>Emp_730</t>
  </si>
  <si>
    <t>Emp_731</t>
  </si>
  <si>
    <t>Emp_732</t>
  </si>
  <si>
    <t>Emp_733</t>
  </si>
  <si>
    <t>Emp_734</t>
  </si>
  <si>
    <t>Emp_735</t>
  </si>
  <si>
    <t>Emp_736</t>
  </si>
  <si>
    <t>Emp_737</t>
  </si>
  <si>
    <t>Emp_738</t>
  </si>
  <si>
    <t>Emp_739</t>
  </si>
  <si>
    <t>Emp_740</t>
  </si>
  <si>
    <t>Emp_741</t>
  </si>
  <si>
    <t>Emp_742</t>
  </si>
  <si>
    <t>Emp_743</t>
  </si>
  <si>
    <t>Emp_744</t>
  </si>
  <si>
    <t>Emp_745</t>
  </si>
  <si>
    <t>Emp_746</t>
  </si>
  <si>
    <t>Emp_747</t>
  </si>
  <si>
    <t>Emp_748</t>
  </si>
  <si>
    <t>Emp_749</t>
  </si>
  <si>
    <t>Emp_750</t>
  </si>
  <si>
    <t>Emp_751</t>
  </si>
  <si>
    <t>Emp_752</t>
  </si>
  <si>
    <t>Emp_753</t>
  </si>
  <si>
    <t>Emp_754</t>
  </si>
  <si>
    <t>Emp_755</t>
  </si>
  <si>
    <t>Emp_756</t>
  </si>
  <si>
    <t>Emp_757</t>
  </si>
  <si>
    <t>Emp_758</t>
  </si>
  <si>
    <t>Emp_759</t>
  </si>
  <si>
    <t>Emp_760</t>
  </si>
  <si>
    <t>Emp_761</t>
  </si>
  <si>
    <t>Emp_762</t>
  </si>
  <si>
    <t>Emp_763</t>
  </si>
  <si>
    <t>Emp_764</t>
  </si>
  <si>
    <t>Emp_765</t>
  </si>
  <si>
    <t>Emp_766</t>
  </si>
  <si>
    <t>Emp_767</t>
  </si>
  <si>
    <t>Emp_768</t>
  </si>
  <si>
    <t>Emp_769</t>
  </si>
  <si>
    <t>Emp_770</t>
  </si>
  <si>
    <t>Emp_771</t>
  </si>
  <si>
    <t>Emp_772</t>
  </si>
  <si>
    <t>Emp_773</t>
  </si>
  <si>
    <t>Emp_774</t>
  </si>
  <si>
    <t>Emp_775</t>
  </si>
  <si>
    <t>Emp_776</t>
  </si>
  <si>
    <t>Emp_777</t>
  </si>
  <si>
    <t>Emp_778</t>
  </si>
  <si>
    <t>Emp_779</t>
  </si>
  <si>
    <t>Emp_780</t>
  </si>
  <si>
    <t>Emp_781</t>
  </si>
  <si>
    <t>Emp_782</t>
  </si>
  <si>
    <t>Emp_783</t>
  </si>
  <si>
    <t>Emp_784</t>
  </si>
  <si>
    <t>Emp_785</t>
  </si>
  <si>
    <t>Emp_786</t>
  </si>
  <si>
    <t>Emp_787</t>
  </si>
  <si>
    <t>Emp_788</t>
  </si>
  <si>
    <t>Emp_789</t>
  </si>
  <si>
    <t>Emp_790</t>
  </si>
  <si>
    <t>Emp_791</t>
  </si>
  <si>
    <t>Emp_792</t>
  </si>
  <si>
    <t>Emp_793</t>
  </si>
  <si>
    <t>Emp_794</t>
  </si>
  <si>
    <t>Emp_795</t>
  </si>
  <si>
    <t>Emp_796</t>
  </si>
  <si>
    <t>Emp_797</t>
  </si>
  <si>
    <t>Emp_798</t>
  </si>
  <si>
    <t>Emp_799</t>
  </si>
  <si>
    <t>Emp_800</t>
  </si>
  <si>
    <t>Emp_801</t>
  </si>
  <si>
    <t>Emp_802</t>
  </si>
  <si>
    <t>Emp_803</t>
  </si>
  <si>
    <t>Emp_804</t>
  </si>
  <si>
    <t>Emp_805</t>
  </si>
  <si>
    <t>Emp_806</t>
  </si>
  <si>
    <t>Emp_807</t>
  </si>
  <si>
    <t>Emp_808</t>
  </si>
  <si>
    <t>Emp_809</t>
  </si>
  <si>
    <t>Emp_810</t>
  </si>
  <si>
    <t>Emp_811</t>
  </si>
  <si>
    <t>Emp_812</t>
  </si>
  <si>
    <t>Emp_813</t>
  </si>
  <si>
    <t>Emp_814</t>
  </si>
  <si>
    <t>Emp_815</t>
  </si>
  <si>
    <t>Emp_816</t>
  </si>
  <si>
    <t>Emp_817</t>
  </si>
  <si>
    <t>Emp_818</t>
  </si>
  <si>
    <t>Emp_819</t>
  </si>
  <si>
    <t>Emp_820</t>
  </si>
  <si>
    <t>Emp_821</t>
  </si>
  <si>
    <t>Emp_822</t>
  </si>
  <si>
    <t>Emp_823</t>
  </si>
  <si>
    <t>Emp_824</t>
  </si>
  <si>
    <t>Emp_825</t>
  </si>
  <si>
    <t>Emp_826</t>
  </si>
  <si>
    <t>Emp_827</t>
  </si>
  <si>
    <t>Emp_828</t>
  </si>
  <si>
    <t>Emp_829</t>
  </si>
  <si>
    <t>Emp_830</t>
  </si>
  <si>
    <t>Emp_831</t>
  </si>
  <si>
    <t>Emp_832</t>
  </si>
  <si>
    <t>Emp_833</t>
  </si>
  <si>
    <t>Emp_834</t>
  </si>
  <si>
    <t>Emp_835</t>
  </si>
  <si>
    <t>Emp_836</t>
  </si>
  <si>
    <t>Emp_837</t>
  </si>
  <si>
    <t>Emp_838</t>
  </si>
  <si>
    <t>Emp_839</t>
  </si>
  <si>
    <t>Emp_840</t>
  </si>
  <si>
    <t>Emp_841</t>
  </si>
  <si>
    <t>Emp_842</t>
  </si>
  <si>
    <t>Emp_843</t>
  </si>
  <si>
    <t>Emp_844</t>
  </si>
  <si>
    <t>Emp_845</t>
  </si>
  <si>
    <t>Emp_846</t>
  </si>
  <si>
    <t>Emp_847</t>
  </si>
  <si>
    <t>Emp_848</t>
  </si>
  <si>
    <t>Emp_849</t>
  </si>
  <si>
    <t>Emp_850</t>
  </si>
  <si>
    <t>Emp_851</t>
  </si>
  <si>
    <t>Emp_852</t>
  </si>
  <si>
    <t>Emp_853</t>
  </si>
  <si>
    <t>Emp_854</t>
  </si>
  <si>
    <t>Emp_855</t>
  </si>
  <si>
    <t>Emp_856</t>
  </si>
  <si>
    <t>Emp_857</t>
  </si>
  <si>
    <t>Emp_858</t>
  </si>
  <si>
    <t>Emp_859</t>
  </si>
  <si>
    <t>Emp_860</t>
  </si>
  <si>
    <t>Emp_861</t>
  </si>
  <si>
    <t>Emp_862</t>
  </si>
  <si>
    <t>Emp_863</t>
  </si>
  <si>
    <t>Emp_864</t>
  </si>
  <si>
    <t>Emp_865</t>
  </si>
  <si>
    <t>Emp_866</t>
  </si>
  <si>
    <t>Emp_867</t>
  </si>
  <si>
    <t>Emp_868</t>
  </si>
  <si>
    <t>Emp_869</t>
  </si>
  <si>
    <t>Emp_870</t>
  </si>
  <si>
    <t>Emp_871</t>
  </si>
  <si>
    <t>Emp_872</t>
  </si>
  <si>
    <t>Emp_873</t>
  </si>
  <si>
    <t>Emp_874</t>
  </si>
  <si>
    <t>Emp_875</t>
  </si>
  <si>
    <t>Emp_876</t>
  </si>
  <si>
    <t>Emp_877</t>
  </si>
  <si>
    <t>Emp_878</t>
  </si>
  <si>
    <t>Emp_879</t>
  </si>
  <si>
    <t>Emp_880</t>
  </si>
  <si>
    <t>Emp_881</t>
  </si>
  <si>
    <t>Emp_882</t>
  </si>
  <si>
    <t>Emp_883</t>
  </si>
  <si>
    <t>Emp_884</t>
  </si>
  <si>
    <t>Emp_885</t>
  </si>
  <si>
    <t>Emp_886</t>
  </si>
  <si>
    <t>Emp_887</t>
  </si>
  <si>
    <t>Emp_888</t>
  </si>
  <si>
    <t>Emp_889</t>
  </si>
  <si>
    <t>Emp_890</t>
  </si>
  <si>
    <t>Emp_891</t>
  </si>
  <si>
    <t>Emp_892</t>
  </si>
  <si>
    <t>Emp_893</t>
  </si>
  <si>
    <t>Emp_894</t>
  </si>
  <si>
    <t>Emp_895</t>
  </si>
  <si>
    <t>Emp_896</t>
  </si>
  <si>
    <t>Emp_897</t>
  </si>
  <si>
    <t>Emp_898</t>
  </si>
  <si>
    <t>Emp_899</t>
  </si>
  <si>
    <t>Emp_900</t>
  </si>
  <si>
    <t>Emp_901</t>
  </si>
  <si>
    <t>Emp_902</t>
  </si>
  <si>
    <t>Emp_903</t>
  </si>
  <si>
    <t>Emp_904</t>
  </si>
  <si>
    <t>Emp_905</t>
  </si>
  <si>
    <t>Emp_906</t>
  </si>
  <si>
    <t>Emp_907</t>
  </si>
  <si>
    <t>Emp_908</t>
  </si>
  <si>
    <t>Emp_909</t>
  </si>
  <si>
    <t>Emp_910</t>
  </si>
  <si>
    <t>Emp_911</t>
  </si>
  <si>
    <t>Emp_912</t>
  </si>
  <si>
    <t>Emp_913</t>
  </si>
  <si>
    <t>Emp_914</t>
  </si>
  <si>
    <t>Emp_915</t>
  </si>
  <si>
    <t>Emp_916</t>
  </si>
  <si>
    <t>Emp_917</t>
  </si>
  <si>
    <t>Emp_918</t>
  </si>
  <si>
    <t>Emp_919</t>
  </si>
  <si>
    <t>Emp_920</t>
  </si>
  <si>
    <t>Emp_921</t>
  </si>
  <si>
    <t>Emp_922</t>
  </si>
  <si>
    <t>Emp_923</t>
  </si>
  <si>
    <t>Emp_924</t>
  </si>
  <si>
    <t>Emp_925</t>
  </si>
  <si>
    <t>Emp_926</t>
  </si>
  <si>
    <t>Emp_927</t>
  </si>
  <si>
    <t>Emp_928</t>
  </si>
  <si>
    <t>Emp_929</t>
  </si>
  <si>
    <t>Emp_930</t>
  </si>
  <si>
    <t>Emp_931</t>
  </si>
  <si>
    <t>Emp_932</t>
  </si>
  <si>
    <t>Emp_933</t>
  </si>
  <si>
    <t>Emp_934</t>
  </si>
  <si>
    <t>Emp_935</t>
  </si>
  <si>
    <t>Emp_936</t>
  </si>
  <si>
    <t>Emp_937</t>
  </si>
  <si>
    <t>Emp_938</t>
  </si>
  <si>
    <t>Emp_939</t>
  </si>
  <si>
    <t>Emp_940</t>
  </si>
  <si>
    <t>Emp_941</t>
  </si>
  <si>
    <t>Emp_942</t>
  </si>
  <si>
    <t>Emp_943</t>
  </si>
  <si>
    <t>Emp_944</t>
  </si>
  <si>
    <t>Emp_945</t>
  </si>
  <si>
    <t>Emp_946</t>
  </si>
  <si>
    <t>Emp_947</t>
  </si>
  <si>
    <t>Emp_948</t>
  </si>
  <si>
    <t>Emp_949</t>
  </si>
  <si>
    <t>Emp_950</t>
  </si>
  <si>
    <t>Emp_951</t>
  </si>
  <si>
    <t>Emp_952</t>
  </si>
  <si>
    <t>Emp_953</t>
  </si>
  <si>
    <t>Emp_954</t>
  </si>
  <si>
    <t>Emp_955</t>
  </si>
  <si>
    <t>Emp_956</t>
  </si>
  <si>
    <t>Emp_957</t>
  </si>
  <si>
    <t>Emp_958</t>
  </si>
  <si>
    <t>Emp_959</t>
  </si>
  <si>
    <t>Emp_960</t>
  </si>
  <si>
    <t>Emp_961</t>
  </si>
  <si>
    <t>Emp_962</t>
  </si>
  <si>
    <t>Emp_963</t>
  </si>
  <si>
    <t>Emp_964</t>
  </si>
  <si>
    <t>Emp_965</t>
  </si>
  <si>
    <t>Emp_966</t>
  </si>
  <si>
    <t>Emp_967</t>
  </si>
  <si>
    <t>Emp_968</t>
  </si>
  <si>
    <t>Emp_969</t>
  </si>
  <si>
    <t>Emp_970</t>
  </si>
  <si>
    <t>Emp_971</t>
  </si>
  <si>
    <t>Emp_972</t>
  </si>
  <si>
    <t>Emp_973</t>
  </si>
  <si>
    <t>Emp_974</t>
  </si>
  <si>
    <t>Emp_975</t>
  </si>
  <si>
    <t>Emp_976</t>
  </si>
  <si>
    <t>Emp_977</t>
  </si>
  <si>
    <t>Emp_978</t>
  </si>
  <si>
    <t>Emp_979</t>
  </si>
  <si>
    <t>Emp_980</t>
  </si>
  <si>
    <t>Emp_981</t>
  </si>
  <si>
    <t>Emp_982</t>
  </si>
  <si>
    <t>Emp_983</t>
  </si>
  <si>
    <t>Emp_984</t>
  </si>
  <si>
    <t>Emp_985</t>
  </si>
  <si>
    <t>Emp_986</t>
  </si>
  <si>
    <t>Emp_987</t>
  </si>
  <si>
    <t>Emp_988</t>
  </si>
  <si>
    <t>Emp_989</t>
  </si>
  <si>
    <t>Emp_990</t>
  </si>
  <si>
    <t>Emp_991</t>
  </si>
  <si>
    <t>Emp_992</t>
  </si>
  <si>
    <t>Emp_993</t>
  </si>
  <si>
    <t>Emp_994</t>
  </si>
  <si>
    <t>Emp_995</t>
  </si>
  <si>
    <t>Emp_996</t>
  </si>
  <si>
    <t>Emp_997</t>
  </si>
  <si>
    <t>Emp_998</t>
  </si>
  <si>
    <t>Emp_999</t>
  </si>
  <si>
    <t>Emp_1000</t>
  </si>
  <si>
    <t>Emp_1001</t>
  </si>
  <si>
    <t>Emp_1002</t>
  </si>
  <si>
    <t>Emp_1003</t>
  </si>
  <si>
    <t>Emp_1004</t>
  </si>
  <si>
    <t>Emp_1005</t>
  </si>
  <si>
    <t>Emp_1006</t>
  </si>
  <si>
    <t>Emp_1007</t>
  </si>
  <si>
    <t>Emp_1008</t>
  </si>
  <si>
    <t>Emp_1009</t>
  </si>
  <si>
    <t>Emp_1010</t>
  </si>
  <si>
    <t>Emp_1011</t>
  </si>
  <si>
    <t>Emp_1012</t>
  </si>
  <si>
    <t>Emp_1013</t>
  </si>
  <si>
    <t>Emp_1014</t>
  </si>
  <si>
    <t>Emp_1015</t>
  </si>
  <si>
    <t>Emp_1016</t>
  </si>
  <si>
    <t>Emp_1017</t>
  </si>
  <si>
    <t>Emp_1018</t>
  </si>
  <si>
    <t>Emp_1019</t>
  </si>
  <si>
    <t>Emp_1020</t>
  </si>
  <si>
    <t>Emp_1021</t>
  </si>
  <si>
    <t>Emp_1022</t>
  </si>
  <si>
    <t>Emp_1023</t>
  </si>
  <si>
    <t>Emp_1024</t>
  </si>
  <si>
    <t>Emp_1025</t>
  </si>
  <si>
    <t>Emp_1026</t>
  </si>
  <si>
    <t>Emp_1027</t>
  </si>
  <si>
    <t>Emp_1028</t>
  </si>
  <si>
    <t>Emp_1029</t>
  </si>
  <si>
    <t>Emp_1030</t>
  </si>
  <si>
    <t>Emp_1031</t>
  </si>
  <si>
    <t>Emp_1032</t>
  </si>
  <si>
    <t>Emp_1033</t>
  </si>
  <si>
    <t>Emp_1034</t>
  </si>
  <si>
    <t>Emp_1035</t>
  </si>
  <si>
    <t>Emp_1036</t>
  </si>
  <si>
    <t>Emp_1037</t>
  </si>
  <si>
    <t>Emp_1038</t>
  </si>
  <si>
    <t>Emp_1039</t>
  </si>
  <si>
    <t>Emp_1040</t>
  </si>
  <si>
    <t>Emp_1041</t>
  </si>
  <si>
    <t>Emp_1042</t>
  </si>
  <si>
    <t>Emp_1043</t>
  </si>
  <si>
    <t>Emp_1044</t>
  </si>
  <si>
    <t>Emp_1045</t>
  </si>
  <si>
    <t>Emp_1046</t>
  </si>
  <si>
    <t>Emp_1047</t>
  </si>
  <si>
    <t>Emp_1048</t>
  </si>
  <si>
    <t>Emp_1049</t>
  </si>
  <si>
    <t>Emp_1050</t>
  </si>
  <si>
    <t>Emp_1051</t>
  </si>
  <si>
    <t>Emp_1052</t>
  </si>
  <si>
    <t>Emp_1053</t>
  </si>
  <si>
    <t>Emp_1054</t>
  </si>
  <si>
    <t>Emp_1055</t>
  </si>
  <si>
    <t>Emp_1056</t>
  </si>
  <si>
    <t>Emp_1057</t>
  </si>
  <si>
    <t>Emp_1058</t>
  </si>
  <si>
    <t>Emp_1059</t>
  </si>
  <si>
    <t>Emp_1060</t>
  </si>
  <si>
    <t>Emp_1061</t>
  </si>
  <si>
    <t>Emp_1062</t>
  </si>
  <si>
    <t>Emp_1063</t>
  </si>
  <si>
    <t>Emp_1064</t>
  </si>
  <si>
    <t>Emp_1065</t>
  </si>
  <si>
    <t>Emp_1066</t>
  </si>
  <si>
    <t>Emp_1067</t>
  </si>
  <si>
    <t>Emp_1068</t>
  </si>
  <si>
    <t>Emp_1069</t>
  </si>
  <si>
    <t>Emp_1070</t>
  </si>
  <si>
    <t>Emp_1071</t>
  </si>
  <si>
    <t>Emp_1072</t>
  </si>
  <si>
    <t>Emp_1073</t>
  </si>
  <si>
    <t>Emp_1074</t>
  </si>
  <si>
    <t>Emp_1075</t>
  </si>
  <si>
    <t>Emp_1076</t>
  </si>
  <si>
    <t>Emp_1077</t>
  </si>
  <si>
    <t>Emp_1078</t>
  </si>
  <si>
    <t>Emp_1079</t>
  </si>
  <si>
    <t>Emp_1080</t>
  </si>
  <si>
    <t>Emp_1081</t>
  </si>
  <si>
    <t>Emp_1082</t>
  </si>
  <si>
    <t>Emp_1083</t>
  </si>
  <si>
    <t>Emp_1084</t>
  </si>
  <si>
    <t>Emp_1085</t>
  </si>
  <si>
    <t>Emp_1086</t>
  </si>
  <si>
    <t>Emp_1087</t>
  </si>
  <si>
    <t>Emp_1088</t>
  </si>
  <si>
    <t>Emp_1089</t>
  </si>
  <si>
    <t>Emp_1090</t>
  </si>
  <si>
    <t>Emp_1091</t>
  </si>
  <si>
    <t>Emp_1092</t>
  </si>
  <si>
    <t>Emp_1093</t>
  </si>
  <si>
    <t>Emp_1094</t>
  </si>
  <si>
    <t>Emp_1095</t>
  </si>
  <si>
    <t>Emp_1096</t>
  </si>
  <si>
    <t>Emp_1097</t>
  </si>
  <si>
    <t>Emp_1098</t>
  </si>
  <si>
    <t>Emp_1099</t>
  </si>
  <si>
    <t>Emp_1100</t>
  </si>
  <si>
    <t>Emp_1101</t>
  </si>
  <si>
    <t>Emp_1102</t>
  </si>
  <si>
    <t>Emp_1103</t>
  </si>
  <si>
    <t>Emp_1104</t>
  </si>
  <si>
    <t>Emp_1105</t>
  </si>
  <si>
    <t>Emp_1106</t>
  </si>
  <si>
    <t>Emp_1107</t>
  </si>
  <si>
    <t>Emp_1108</t>
  </si>
  <si>
    <t>Emp_1109</t>
  </si>
  <si>
    <t>Emp_1110</t>
  </si>
  <si>
    <t>Emp_1111</t>
  </si>
  <si>
    <t>Emp_1112</t>
  </si>
  <si>
    <t>Emp_1113</t>
  </si>
  <si>
    <t>Emp_1114</t>
  </si>
  <si>
    <t>Emp_1115</t>
  </si>
  <si>
    <t>Emp_1116</t>
  </si>
  <si>
    <t>Emp_1117</t>
  </si>
  <si>
    <t>Emp_1118</t>
  </si>
  <si>
    <t>Emp_1119</t>
  </si>
  <si>
    <t>Emp_1120</t>
  </si>
  <si>
    <t>Emp_1121</t>
  </si>
  <si>
    <t>Emp_1122</t>
  </si>
  <si>
    <t>Emp_1123</t>
  </si>
  <si>
    <t>Emp_1124</t>
  </si>
  <si>
    <t>Emp_1125</t>
  </si>
  <si>
    <t>Emp_1126</t>
  </si>
  <si>
    <t>Emp_1127</t>
  </si>
  <si>
    <t>Emp_1128</t>
  </si>
  <si>
    <t>Emp_1129</t>
  </si>
  <si>
    <t>Emp_1130</t>
  </si>
  <si>
    <t>Emp_1131</t>
  </si>
  <si>
    <t>Emp_1132</t>
  </si>
  <si>
    <t>Emp_1133</t>
  </si>
  <si>
    <t>Emp_1134</t>
  </si>
  <si>
    <t>Emp_1135</t>
  </si>
  <si>
    <t>Emp_1136</t>
  </si>
  <si>
    <t>Emp_1137</t>
  </si>
  <si>
    <t>Emp_1138</t>
  </si>
  <si>
    <t>Emp_1139</t>
  </si>
  <si>
    <t>Emp_1140</t>
  </si>
  <si>
    <t>Emp_1141</t>
  </si>
  <si>
    <t>Emp_1142</t>
  </si>
  <si>
    <t>Emp_1143</t>
  </si>
  <si>
    <t>Emp_1144</t>
  </si>
  <si>
    <t>Emp_1145</t>
  </si>
  <si>
    <t>Emp_1146</t>
  </si>
  <si>
    <t>Emp_1147</t>
  </si>
  <si>
    <t>Emp_1148</t>
  </si>
  <si>
    <t>Emp_1149</t>
  </si>
  <si>
    <t>Emp_1150</t>
  </si>
  <si>
    <t>Emp_1151</t>
  </si>
  <si>
    <t>Emp_1152</t>
  </si>
  <si>
    <t>Emp_1153</t>
  </si>
  <si>
    <t>Emp_1154</t>
  </si>
  <si>
    <t>Emp_1155</t>
  </si>
  <si>
    <t>Emp_1156</t>
  </si>
  <si>
    <t>Emp_1157</t>
  </si>
  <si>
    <t>Emp_1158</t>
  </si>
  <si>
    <t>Emp_1159</t>
  </si>
  <si>
    <t>Emp_1160</t>
  </si>
  <si>
    <t>Emp_1161</t>
  </si>
  <si>
    <t>Emp_1162</t>
  </si>
  <si>
    <t>Emp_1163</t>
  </si>
  <si>
    <t>Emp_1164</t>
  </si>
  <si>
    <t>Emp_1165</t>
  </si>
  <si>
    <t>Emp_1166</t>
  </si>
  <si>
    <t>Emp_1167</t>
  </si>
  <si>
    <t>Emp_1168</t>
  </si>
  <si>
    <t>Emp_1169</t>
  </si>
  <si>
    <t>Emp_1170</t>
  </si>
  <si>
    <t>Emp_1171</t>
  </si>
  <si>
    <t>Emp_1172</t>
  </si>
  <si>
    <t>Emp_1173</t>
  </si>
  <si>
    <t>Emp_1174</t>
  </si>
  <si>
    <t>Emp_1175</t>
  </si>
  <si>
    <t>Emp_1176</t>
  </si>
  <si>
    <t>Emp_1177</t>
  </si>
  <si>
    <t>Emp_1178</t>
  </si>
  <si>
    <t>Emp_1179</t>
  </si>
  <si>
    <t>Emp_1180</t>
  </si>
  <si>
    <t>Emp_1181</t>
  </si>
  <si>
    <t>Emp_1182</t>
  </si>
  <si>
    <t>Emp_1183</t>
  </si>
  <si>
    <t>Emp_1184</t>
  </si>
  <si>
    <t>Emp_1185</t>
  </si>
  <si>
    <t>Emp_1186</t>
  </si>
  <si>
    <t>Emp_1187</t>
  </si>
  <si>
    <t>Emp_1188</t>
  </si>
  <si>
    <t>Emp_1189</t>
  </si>
  <si>
    <t>Emp_1190</t>
  </si>
  <si>
    <t>Emp_1191</t>
  </si>
  <si>
    <t>Emp_1192</t>
  </si>
  <si>
    <t>Emp_1193</t>
  </si>
  <si>
    <t>Emp_1194</t>
  </si>
  <si>
    <t>Emp_1195</t>
  </si>
  <si>
    <t>Emp_1196</t>
  </si>
  <si>
    <t>Emp_1197</t>
  </si>
  <si>
    <t>Emp_1198</t>
  </si>
  <si>
    <t>Emp_1199</t>
  </si>
  <si>
    <t>Emp_1200</t>
  </si>
  <si>
    <t>Emp_1201</t>
  </si>
  <si>
    <t>Emp_1202</t>
  </si>
  <si>
    <t>Emp_1203</t>
  </si>
  <si>
    <t>Emp_1204</t>
  </si>
  <si>
    <t>Emp_1205</t>
  </si>
  <si>
    <t>Emp_1206</t>
  </si>
  <si>
    <t>Emp_1207</t>
  </si>
  <si>
    <t>Emp_1208</t>
  </si>
  <si>
    <t>Emp_1209</t>
  </si>
  <si>
    <t>Emp_1210</t>
  </si>
  <si>
    <t>Emp_1211</t>
  </si>
  <si>
    <t>Emp_1212</t>
  </si>
  <si>
    <t>Emp_1213</t>
  </si>
  <si>
    <t>Emp_1214</t>
  </si>
  <si>
    <t>Emp_1215</t>
  </si>
  <si>
    <t>Emp_1216</t>
  </si>
  <si>
    <t>Emp_1217</t>
  </si>
  <si>
    <t>Emp_1218</t>
  </si>
  <si>
    <t>Emp_1219</t>
  </si>
  <si>
    <t>Emp_1220</t>
  </si>
  <si>
    <t>Emp_1221</t>
  </si>
  <si>
    <t>Emp_1222</t>
  </si>
  <si>
    <t>Emp_1223</t>
  </si>
  <si>
    <t>Emp_1224</t>
  </si>
  <si>
    <t>Emp_1225</t>
  </si>
  <si>
    <t>Emp_1226</t>
  </si>
  <si>
    <t>Emp_1227</t>
  </si>
  <si>
    <t>Emp_1228</t>
  </si>
  <si>
    <t>Emp_1229</t>
  </si>
  <si>
    <t>Emp_1230</t>
  </si>
  <si>
    <t>Emp_1231</t>
  </si>
  <si>
    <t>Emp_1232</t>
  </si>
  <si>
    <t>Emp_1233</t>
  </si>
  <si>
    <t>Emp_1234</t>
  </si>
  <si>
    <t>Emp_1235</t>
  </si>
  <si>
    <t>Emp_1236</t>
  </si>
  <si>
    <t>Emp_1237</t>
  </si>
  <si>
    <t>Emp_1238</t>
  </si>
  <si>
    <t>Emp_1239</t>
  </si>
  <si>
    <t>Emp_1240</t>
  </si>
  <si>
    <t>Emp_1241</t>
  </si>
  <si>
    <t>Emp_1242</t>
  </si>
  <si>
    <t>Emp_1243</t>
  </si>
  <si>
    <t>Emp_1244</t>
  </si>
  <si>
    <t>Emp_1245</t>
  </si>
  <si>
    <t>Emp_1246</t>
  </si>
  <si>
    <t>Emp_1247</t>
  </si>
  <si>
    <t>Emp_1248</t>
  </si>
  <si>
    <t>Emp_1249</t>
  </si>
  <si>
    <t>Emp_1250</t>
  </si>
  <si>
    <t>Emp_1251</t>
  </si>
  <si>
    <t>Emp_1252</t>
  </si>
  <si>
    <t>Emp_1253</t>
  </si>
  <si>
    <t>Emp_1254</t>
  </si>
  <si>
    <t>Emp_1255</t>
  </si>
  <si>
    <t>Emp_1256</t>
  </si>
  <si>
    <t>Emp_1257</t>
  </si>
  <si>
    <t>Emp_1258</t>
  </si>
  <si>
    <t>Emp_1259</t>
  </si>
  <si>
    <t>Emp_1260</t>
  </si>
  <si>
    <t>Emp_1261</t>
  </si>
  <si>
    <t>Emp_1262</t>
  </si>
  <si>
    <t>Emp_1263</t>
  </si>
  <si>
    <t>Emp_1264</t>
  </si>
  <si>
    <t>Emp_1265</t>
  </si>
  <si>
    <t>Emp_1266</t>
  </si>
  <si>
    <t>Emp_1267</t>
  </si>
  <si>
    <t>Emp_1268</t>
  </si>
  <si>
    <t>Emp_1269</t>
  </si>
  <si>
    <t>Emp_1270</t>
  </si>
  <si>
    <t>Emp_1271</t>
  </si>
  <si>
    <t>Emp_1272</t>
  </si>
  <si>
    <t>Emp_1273</t>
  </si>
  <si>
    <t>Emp_1274</t>
  </si>
  <si>
    <t>Emp_1275</t>
  </si>
  <si>
    <t>Emp_1276</t>
  </si>
  <si>
    <t>Emp_1277</t>
  </si>
  <si>
    <t>Emp_1278</t>
  </si>
  <si>
    <t>Emp_1279</t>
  </si>
  <si>
    <t>Emp_1280</t>
  </si>
  <si>
    <t>Emp_1281</t>
  </si>
  <si>
    <t>Emp_1282</t>
  </si>
  <si>
    <t>Emp_1283</t>
  </si>
  <si>
    <t>Emp_1284</t>
  </si>
  <si>
    <t>Emp_1285</t>
  </si>
  <si>
    <t>Emp_1286</t>
  </si>
  <si>
    <t>Emp_1287</t>
  </si>
  <si>
    <t>Emp_1288</t>
  </si>
  <si>
    <t>Emp_1289</t>
  </si>
  <si>
    <t>Emp_1290</t>
  </si>
  <si>
    <t>Emp_1291</t>
  </si>
  <si>
    <t>Emp_1292</t>
  </si>
  <si>
    <t>Emp_1293</t>
  </si>
  <si>
    <t>Emp_1294</t>
  </si>
  <si>
    <t>Emp_1295</t>
  </si>
  <si>
    <t>Emp_1296</t>
  </si>
  <si>
    <t>Emp_1297</t>
  </si>
  <si>
    <t>Emp_1298</t>
  </si>
  <si>
    <t>Emp_1299</t>
  </si>
  <si>
    <t>Emp_1300</t>
  </si>
  <si>
    <t>Emp_1301</t>
  </si>
  <si>
    <t>Emp_1302</t>
  </si>
  <si>
    <t>Emp_1303</t>
  </si>
  <si>
    <t>Emp_1304</t>
  </si>
  <si>
    <t>Emp_1305</t>
  </si>
  <si>
    <t>Emp_1306</t>
  </si>
  <si>
    <t>Emp_1307</t>
  </si>
  <si>
    <t>Emp_1308</t>
  </si>
  <si>
    <t>Emp_1309</t>
  </si>
  <si>
    <t>Emp_1310</t>
  </si>
  <si>
    <t>Emp_1311</t>
  </si>
  <si>
    <t>Emp_1312</t>
  </si>
  <si>
    <t>Emp_1313</t>
  </si>
  <si>
    <t>Emp_1314</t>
  </si>
  <si>
    <t>Emp_1315</t>
  </si>
  <si>
    <t>Emp_1316</t>
  </si>
  <si>
    <t>Emp_1317</t>
  </si>
  <si>
    <t>Emp_1318</t>
  </si>
  <si>
    <t>Emp_1319</t>
  </si>
  <si>
    <t>Emp_1320</t>
  </si>
  <si>
    <t>Emp_1321</t>
  </si>
  <si>
    <t>Emp_1322</t>
  </si>
  <si>
    <t>Emp_1323</t>
  </si>
  <si>
    <t>Emp_1324</t>
  </si>
  <si>
    <t>Emp_1325</t>
  </si>
  <si>
    <t>Emp_1326</t>
  </si>
  <si>
    <t>Emp_1327</t>
  </si>
  <si>
    <t>Emp_1328</t>
  </si>
  <si>
    <t>Emp_1329</t>
  </si>
  <si>
    <t>Emp_1330</t>
  </si>
  <si>
    <t>Emp_1331</t>
  </si>
  <si>
    <t>Emp_1332</t>
  </si>
  <si>
    <t>Emp_1333</t>
  </si>
  <si>
    <t>Emp_1334</t>
  </si>
  <si>
    <t>Emp_1335</t>
  </si>
  <si>
    <t>Emp_1336</t>
  </si>
  <si>
    <t>Emp_1337</t>
  </si>
  <si>
    <t>Emp_1338</t>
  </si>
  <si>
    <t>Emp_1339</t>
  </si>
  <si>
    <t>Emp_1340</t>
  </si>
  <si>
    <t>Emp_1341</t>
  </si>
  <si>
    <t>Emp_1342</t>
  </si>
  <si>
    <t>Emp_1343</t>
  </si>
  <si>
    <t>Emp_1344</t>
  </si>
  <si>
    <t>Emp_1345</t>
  </si>
  <si>
    <t>Emp_1346</t>
  </si>
  <si>
    <t>Emp_1347</t>
  </si>
  <si>
    <t>Emp_1348</t>
  </si>
  <si>
    <t>Emp_1349</t>
  </si>
  <si>
    <t>Emp_1350</t>
  </si>
  <si>
    <t>Emp_1351</t>
  </si>
  <si>
    <t>Emp_1352</t>
  </si>
  <si>
    <t>Emp_1353</t>
  </si>
  <si>
    <t>Emp_1354</t>
  </si>
  <si>
    <t>Emp_1355</t>
  </si>
  <si>
    <t>Emp_1356</t>
  </si>
  <si>
    <t>Emp_1357</t>
  </si>
  <si>
    <t>Emp_1358</t>
  </si>
  <si>
    <t>Emp_1359</t>
  </si>
  <si>
    <t>Emp_1360</t>
  </si>
  <si>
    <t>Emp_1361</t>
  </si>
  <si>
    <t>Emp_1362</t>
  </si>
  <si>
    <t>Emp_1363</t>
  </si>
  <si>
    <t>Emp_1364</t>
  </si>
  <si>
    <t>Emp_1365</t>
  </si>
  <si>
    <t>Emp_1366</t>
  </si>
  <si>
    <t>Emp_1367</t>
  </si>
  <si>
    <t>Emp_1368</t>
  </si>
  <si>
    <t>Emp_1369</t>
  </si>
  <si>
    <t>Emp_1370</t>
  </si>
  <si>
    <t>Emp_1371</t>
  </si>
  <si>
    <t>Emp_1372</t>
  </si>
  <si>
    <t>Emp_1373</t>
  </si>
  <si>
    <t>Emp_1374</t>
  </si>
  <si>
    <t>Emp_1375</t>
  </si>
  <si>
    <t>Emp_1376</t>
  </si>
  <si>
    <t>Emp_1377</t>
  </si>
  <si>
    <t>Emp_1378</t>
  </si>
  <si>
    <t>Emp_1379</t>
  </si>
  <si>
    <t>Emp_1380</t>
  </si>
  <si>
    <t>Emp_1381</t>
  </si>
  <si>
    <t>Emp_1382</t>
  </si>
  <si>
    <t>Emp_1383</t>
  </si>
  <si>
    <t>Emp_1384</t>
  </si>
  <si>
    <t>Emp_1385</t>
  </si>
  <si>
    <t>Emp_1386</t>
  </si>
  <si>
    <t>Emp_1387</t>
  </si>
  <si>
    <t>Emp_1388</t>
  </si>
  <si>
    <t>Emp_1389</t>
  </si>
  <si>
    <t>Emp_1390</t>
  </si>
  <si>
    <t>Emp_1391</t>
  </si>
  <si>
    <t>Emp_1392</t>
  </si>
  <si>
    <t>Emp_1393</t>
  </si>
  <si>
    <t>Emp_1394</t>
  </si>
  <si>
    <t>Emp_1395</t>
  </si>
  <si>
    <t>Emp_1396</t>
  </si>
  <si>
    <t>Emp_1397</t>
  </si>
  <si>
    <t>Emp_1398</t>
  </si>
  <si>
    <t>Emp_1399</t>
  </si>
  <si>
    <t>Emp_1400</t>
  </si>
  <si>
    <t>Emp_1401</t>
  </si>
  <si>
    <t>Emp_1402</t>
  </si>
  <si>
    <t>Emp_1403</t>
  </si>
  <si>
    <t>Emp_1404</t>
  </si>
  <si>
    <t>Emp_1405</t>
  </si>
  <si>
    <t>Emp_1406</t>
  </si>
  <si>
    <t>Emp_1407</t>
  </si>
  <si>
    <t>Emp_1408</t>
  </si>
  <si>
    <t>Emp_1409</t>
  </si>
  <si>
    <t>Emp_1410</t>
  </si>
  <si>
    <t>Emp_1411</t>
  </si>
  <si>
    <t>Emp_1412</t>
  </si>
  <si>
    <t>Emp_1413</t>
  </si>
  <si>
    <t>Emp_1414</t>
  </si>
  <si>
    <t>Emp_1415</t>
  </si>
  <si>
    <t>Emp_1416</t>
  </si>
  <si>
    <t>Emp_1417</t>
  </si>
  <si>
    <t>Emp_1418</t>
  </si>
  <si>
    <t>Emp_1419</t>
  </si>
  <si>
    <t>Emp_1420</t>
  </si>
  <si>
    <t>Emp_1421</t>
  </si>
  <si>
    <t>Emp_1422</t>
  </si>
  <si>
    <t>Emp_1423</t>
  </si>
  <si>
    <t>Emp_1424</t>
  </si>
  <si>
    <t>Emp_1425</t>
  </si>
  <si>
    <t>Emp_1426</t>
  </si>
  <si>
    <t>Emp_1427</t>
  </si>
  <si>
    <t>Emp_1428</t>
  </si>
  <si>
    <t>Emp_1429</t>
  </si>
  <si>
    <t>Emp_1430</t>
  </si>
  <si>
    <t>Emp_1431</t>
  </si>
  <si>
    <t>Emp_1432</t>
  </si>
  <si>
    <t>Emp_1433</t>
  </si>
  <si>
    <t>Emp_1434</t>
  </si>
  <si>
    <t>Emp_1435</t>
  </si>
  <si>
    <t>Emp_1436</t>
  </si>
  <si>
    <t>Emp_1437</t>
  </si>
  <si>
    <t>Emp_1438</t>
  </si>
  <si>
    <t>Emp_1439</t>
  </si>
  <si>
    <t>Emp_1440</t>
  </si>
  <si>
    <t>Emp_1441</t>
  </si>
  <si>
    <t>Emp_1442</t>
  </si>
  <si>
    <t>Emp_1443</t>
  </si>
  <si>
    <t>Emp_1444</t>
  </si>
  <si>
    <t>Emp_1445</t>
  </si>
  <si>
    <t>Emp_1446</t>
  </si>
  <si>
    <t>Emp_1447</t>
  </si>
  <si>
    <t>Emp_1448</t>
  </si>
  <si>
    <t>Emp_1449</t>
  </si>
  <si>
    <t>Emp_1450</t>
  </si>
  <si>
    <t>Emp_1451</t>
  </si>
  <si>
    <t>Emp_1452</t>
  </si>
  <si>
    <t>Emp_1453</t>
  </si>
  <si>
    <t>Emp_1454</t>
  </si>
  <si>
    <t>Emp_1455</t>
  </si>
  <si>
    <t>Emp_1456</t>
  </si>
  <si>
    <t>Emp_1457</t>
  </si>
  <si>
    <t>Emp_1458</t>
  </si>
  <si>
    <t>Emp_1459</t>
  </si>
  <si>
    <t>Emp_1460</t>
  </si>
  <si>
    <t>Emp_1461</t>
  </si>
  <si>
    <t>Emp_1462</t>
  </si>
  <si>
    <t>Emp_1463</t>
  </si>
  <si>
    <t>Emp_1464</t>
  </si>
  <si>
    <t>Emp_1465</t>
  </si>
  <si>
    <t>Emp_1466</t>
  </si>
  <si>
    <t>Emp_1467</t>
  </si>
  <si>
    <t>Emp_1468</t>
  </si>
  <si>
    <t>Emp_1469</t>
  </si>
  <si>
    <t>Emp_1470</t>
  </si>
  <si>
    <t>Emp_1471</t>
  </si>
  <si>
    <t>Emp_1472</t>
  </si>
  <si>
    <t>Emp_1473</t>
  </si>
  <si>
    <t>Emp_1474</t>
  </si>
  <si>
    <t>Emp_1475</t>
  </si>
  <si>
    <t>Emp_1476</t>
  </si>
  <si>
    <t>Emp_1477</t>
  </si>
  <si>
    <t>Emp_1478</t>
  </si>
  <si>
    <t>Emp_1479</t>
  </si>
  <si>
    <t>Emp_1480</t>
  </si>
  <si>
    <t>Emp_1481</t>
  </si>
  <si>
    <t>Emp_1482</t>
  </si>
  <si>
    <t>Emp_1483</t>
  </si>
  <si>
    <t>Emp_1484</t>
  </si>
  <si>
    <t>Emp_1485</t>
  </si>
  <si>
    <t>Emp_1486</t>
  </si>
  <si>
    <t>Emp_1487</t>
  </si>
  <si>
    <t>Emp_1488</t>
  </si>
  <si>
    <t>Emp_1489</t>
  </si>
  <si>
    <t>Emp_1490</t>
  </si>
  <si>
    <t>Emp_1491</t>
  </si>
  <si>
    <t>Emp_1492</t>
  </si>
  <si>
    <t>Emp_1493</t>
  </si>
  <si>
    <t>Emp_1494</t>
  </si>
  <si>
    <t>Emp_1495</t>
  </si>
  <si>
    <t>Emp_1496</t>
  </si>
  <si>
    <t>Emp_1497</t>
  </si>
  <si>
    <t>Emp_1498</t>
  </si>
  <si>
    <t>Emp_1499</t>
  </si>
  <si>
    <t>Emp_1500</t>
  </si>
  <si>
    <t>Emp_1501</t>
  </si>
  <si>
    <t>Emp_1502</t>
  </si>
  <si>
    <t>Emp_1503</t>
  </si>
  <si>
    <t>Emp_1504</t>
  </si>
  <si>
    <t>Emp_1505</t>
  </si>
  <si>
    <t>Emp_1506</t>
  </si>
  <si>
    <t>Emp_1507</t>
  </si>
  <si>
    <t>Emp_1508</t>
  </si>
  <si>
    <t>Emp_1509</t>
  </si>
  <si>
    <t>Emp_1510</t>
  </si>
  <si>
    <t>Emp_1511</t>
  </si>
  <si>
    <t>Emp_1512</t>
  </si>
  <si>
    <t>Emp_1513</t>
  </si>
  <si>
    <t>Emp_1514</t>
  </si>
  <si>
    <t>Emp_1515</t>
  </si>
  <si>
    <t>Emp_1516</t>
  </si>
  <si>
    <t>Emp_1517</t>
  </si>
  <si>
    <t>Emp_1518</t>
  </si>
  <si>
    <t>Emp_1519</t>
  </si>
  <si>
    <t>Emp_1520</t>
  </si>
  <si>
    <t>Emp_1521</t>
  </si>
  <si>
    <t>Emp_1522</t>
  </si>
  <si>
    <t>Emp_1523</t>
  </si>
  <si>
    <t>Emp_1524</t>
  </si>
  <si>
    <t>Emp_1525</t>
  </si>
  <si>
    <t>Emp_1526</t>
  </si>
  <si>
    <t>Emp_1527</t>
  </si>
  <si>
    <t>Emp_1528</t>
  </si>
  <si>
    <t>Emp_1529</t>
  </si>
  <si>
    <t>Emp_1530</t>
  </si>
  <si>
    <t>Emp_1531</t>
  </si>
  <si>
    <t>Emp_1532</t>
  </si>
  <si>
    <t>Emp_1533</t>
  </si>
  <si>
    <t>Emp_1534</t>
  </si>
  <si>
    <t>Emp_1535</t>
  </si>
  <si>
    <t>Emp_1536</t>
  </si>
  <si>
    <t>Emp_1537</t>
  </si>
  <si>
    <t>Emp_1538</t>
  </si>
  <si>
    <t>Emp_1539</t>
  </si>
  <si>
    <t>Emp_1540</t>
  </si>
  <si>
    <t>Emp_1541</t>
  </si>
  <si>
    <t>Emp_1542</t>
  </si>
  <si>
    <t>Emp_1543</t>
  </si>
  <si>
    <t>Emp_1544</t>
  </si>
  <si>
    <t>Emp_1545</t>
  </si>
  <si>
    <t>Emp_1546</t>
  </si>
  <si>
    <t>Emp_1547</t>
  </si>
  <si>
    <t>Emp_1548</t>
  </si>
  <si>
    <t>Emp_1549</t>
  </si>
  <si>
    <t>Emp_1550</t>
  </si>
  <si>
    <t>Emp_1551</t>
  </si>
  <si>
    <t>Emp_1552</t>
  </si>
  <si>
    <t>Emp_1553</t>
  </si>
  <si>
    <t>Emp_1554</t>
  </si>
  <si>
    <t>Emp_1555</t>
  </si>
  <si>
    <t>Emp_1556</t>
  </si>
  <si>
    <t>Emp_1557</t>
  </si>
  <si>
    <t>Emp_1558</t>
  </si>
  <si>
    <t>Emp_1559</t>
  </si>
  <si>
    <t>Emp_1560</t>
  </si>
  <si>
    <t>Emp_1561</t>
  </si>
  <si>
    <t>Emp_1562</t>
  </si>
  <si>
    <t>Emp_1563</t>
  </si>
  <si>
    <t>Emp_1564</t>
  </si>
  <si>
    <t>Emp_1565</t>
  </si>
  <si>
    <t>Emp_1566</t>
  </si>
  <si>
    <t>Emp_1567</t>
  </si>
  <si>
    <t>Emp_1568</t>
  </si>
  <si>
    <t>Emp_1569</t>
  </si>
  <si>
    <t>Emp_1570</t>
  </si>
  <si>
    <t>Emp_1571</t>
  </si>
  <si>
    <t>Emp_1572</t>
  </si>
  <si>
    <t>Emp_1573</t>
  </si>
  <si>
    <t>Emp_1574</t>
  </si>
  <si>
    <t>Emp_1575</t>
  </si>
  <si>
    <t>Emp_1576</t>
  </si>
  <si>
    <t>Emp_1577</t>
  </si>
  <si>
    <t>Emp_1578</t>
  </si>
  <si>
    <t>Emp_1579</t>
  </si>
  <si>
    <t>Emp_1580</t>
  </si>
  <si>
    <t>Emp_1581</t>
  </si>
  <si>
    <t>Emp_1582</t>
  </si>
  <si>
    <t>Emp_1583</t>
  </si>
  <si>
    <t>Emp_1584</t>
  </si>
  <si>
    <t>Emp_1585</t>
  </si>
  <si>
    <t>Emp_1586</t>
  </si>
  <si>
    <t>Emp_1587</t>
  </si>
  <si>
    <t>Emp_1588</t>
  </si>
  <si>
    <t>Emp_1589</t>
  </si>
  <si>
    <t>Emp_1590</t>
  </si>
  <si>
    <t>Emp_1591</t>
  </si>
  <si>
    <t>Emp_1592</t>
  </si>
  <si>
    <t>Emp_1593</t>
  </si>
  <si>
    <t>Emp_1594</t>
  </si>
  <si>
    <t>Emp_1595</t>
  </si>
  <si>
    <t>Emp_1596</t>
  </si>
  <si>
    <t>Emp_1597</t>
  </si>
  <si>
    <t>Emp_1598</t>
  </si>
  <si>
    <t>Emp_1599</t>
  </si>
  <si>
    <t>Emp_1600</t>
  </si>
  <si>
    <t>Emp_1601</t>
  </si>
  <si>
    <t>Emp_1602</t>
  </si>
  <si>
    <t>Emp_1603</t>
  </si>
  <si>
    <t>Emp_1604</t>
  </si>
  <si>
    <t>Emp_1605</t>
  </si>
  <si>
    <t>Emp_1606</t>
  </si>
  <si>
    <t>Emp_1607</t>
  </si>
  <si>
    <t>Emp_1608</t>
  </si>
  <si>
    <t>Emp_1609</t>
  </si>
  <si>
    <t>Emp_1610</t>
  </si>
  <si>
    <t>Emp_1611</t>
  </si>
  <si>
    <t>Emp_1612</t>
  </si>
  <si>
    <t>Emp_1613</t>
  </si>
  <si>
    <t>Emp_1614</t>
  </si>
  <si>
    <t>Emp_1615</t>
  </si>
  <si>
    <t>Emp_1616</t>
  </si>
  <si>
    <t>Emp_1617</t>
  </si>
  <si>
    <t>Emp_1618</t>
  </si>
  <si>
    <t>Emp_1619</t>
  </si>
  <si>
    <t>Emp_1620</t>
  </si>
  <si>
    <t>Emp_1621</t>
  </si>
  <si>
    <t>Emp_1622</t>
  </si>
  <si>
    <t>Emp_1623</t>
  </si>
  <si>
    <t>Emp_1624</t>
  </si>
  <si>
    <t>Emp_1625</t>
  </si>
  <si>
    <t>Emp_1626</t>
  </si>
  <si>
    <t>Emp_1627</t>
  </si>
  <si>
    <t>Emp_1628</t>
  </si>
  <si>
    <t>Emp_1629</t>
  </si>
  <si>
    <t>Emp_1630</t>
  </si>
  <si>
    <t>Emp_1631</t>
  </si>
  <si>
    <t>Emp_1632</t>
  </si>
  <si>
    <t>Emp_1633</t>
  </si>
  <si>
    <t>Emp_1634</t>
  </si>
  <si>
    <t>Emp_1635</t>
  </si>
  <si>
    <t>Emp_1636</t>
  </si>
  <si>
    <t>Emp_1637</t>
  </si>
  <si>
    <t>Emp_1638</t>
  </si>
  <si>
    <t>Emp_1639</t>
  </si>
  <si>
    <t>Emp_1640</t>
  </si>
  <si>
    <t>Emp_1641</t>
  </si>
  <si>
    <t>Emp_1642</t>
  </si>
  <si>
    <t>Emp_1643</t>
  </si>
  <si>
    <t>Emp_1644</t>
  </si>
  <si>
    <t>Emp_1645</t>
  </si>
  <si>
    <t>Emp_1646</t>
  </si>
  <si>
    <t>Emp_1647</t>
  </si>
  <si>
    <t>Emp_1648</t>
  </si>
  <si>
    <t>Emp_1649</t>
  </si>
  <si>
    <t>Emp_1650</t>
  </si>
  <si>
    <t>Emp_1651</t>
  </si>
  <si>
    <t>Emp_1652</t>
  </si>
  <si>
    <t>Emp_1653</t>
  </si>
  <si>
    <t>Emp_1654</t>
  </si>
  <si>
    <t>Emp_1655</t>
  </si>
  <si>
    <t>Emp_1656</t>
  </si>
  <si>
    <t>Emp_1657</t>
  </si>
  <si>
    <t>Emp_1658</t>
  </si>
  <si>
    <t>Emp_1659</t>
  </si>
  <si>
    <t>Emp_1660</t>
  </si>
  <si>
    <t>Emp_1661</t>
  </si>
  <si>
    <t>Emp_1662</t>
  </si>
  <si>
    <t>Emp_1663</t>
  </si>
  <si>
    <t>Emp_1664</t>
  </si>
  <si>
    <t>Emp_1665</t>
  </si>
  <si>
    <t>Emp_1666</t>
  </si>
  <si>
    <t>Emp_1667</t>
  </si>
  <si>
    <t>Emp_1668</t>
  </si>
  <si>
    <t>Emp_1669</t>
  </si>
  <si>
    <t>Emp_1670</t>
  </si>
  <si>
    <t>Emp_1671</t>
  </si>
  <si>
    <t>Emp_1672</t>
  </si>
  <si>
    <t>Emp_1673</t>
  </si>
  <si>
    <t>Emp_1674</t>
  </si>
  <si>
    <t>Emp_1675</t>
  </si>
  <si>
    <t>Emp_1676</t>
  </si>
  <si>
    <t>Emp_1677</t>
  </si>
  <si>
    <t>Emp_1678</t>
  </si>
  <si>
    <t>Emp_1679</t>
  </si>
  <si>
    <t>Emp_1680</t>
  </si>
  <si>
    <t>Emp_1681</t>
  </si>
  <si>
    <t>Emp_1682</t>
  </si>
  <si>
    <t>Emp_1683</t>
  </si>
  <si>
    <t>Emp_1684</t>
  </si>
  <si>
    <t>Emp_1685</t>
  </si>
  <si>
    <t>Emp_1686</t>
  </si>
  <si>
    <t>Emp_1687</t>
  </si>
  <si>
    <t>Emp_1688</t>
  </si>
  <si>
    <t>Emp_1689</t>
  </si>
  <si>
    <t>Emp_1690</t>
  </si>
  <si>
    <t>Emp_1691</t>
  </si>
  <si>
    <t>Emp_1692</t>
  </si>
  <si>
    <t>Emp_1693</t>
  </si>
  <si>
    <t>Emp_1694</t>
  </si>
  <si>
    <t>Emp_1695</t>
  </si>
  <si>
    <t>Emp_1696</t>
  </si>
  <si>
    <t>Emp_1697</t>
  </si>
  <si>
    <t>Emp_1698</t>
  </si>
  <si>
    <t>Emp_1699</t>
  </si>
  <si>
    <t>Emp_1700</t>
  </si>
  <si>
    <t>Emp_1701</t>
  </si>
  <si>
    <t>Emp_1702</t>
  </si>
  <si>
    <t>Emp_1703</t>
  </si>
  <si>
    <t>Emp_1704</t>
  </si>
  <si>
    <t>Emp_1705</t>
  </si>
  <si>
    <t>Emp_1706</t>
  </si>
  <si>
    <t>Emp_1707</t>
  </si>
  <si>
    <t>Emp_1708</t>
  </si>
  <si>
    <t>Emp_1709</t>
  </si>
  <si>
    <t>Emp_1710</t>
  </si>
  <si>
    <t>Emp_1711</t>
  </si>
  <si>
    <t>Emp_1712</t>
  </si>
  <si>
    <t>Emp_1713</t>
  </si>
  <si>
    <t>Emp_1714</t>
  </si>
  <si>
    <t>Emp_1715</t>
  </si>
  <si>
    <t>Emp_1716</t>
  </si>
  <si>
    <t>Emp_1717</t>
  </si>
  <si>
    <t>Emp_1718</t>
  </si>
  <si>
    <t>Emp_1719</t>
  </si>
  <si>
    <t>Emp_1720</t>
  </si>
  <si>
    <t>Emp_1721</t>
  </si>
  <si>
    <t>Emp_1722</t>
  </si>
  <si>
    <t>Emp_1723</t>
  </si>
  <si>
    <t>Emp_1724</t>
  </si>
  <si>
    <t>Emp_1725</t>
  </si>
  <si>
    <t>Emp_1726</t>
  </si>
  <si>
    <t>Emp_1727</t>
  </si>
  <si>
    <t>Emp_1728</t>
  </si>
  <si>
    <t>Emp_1729</t>
  </si>
  <si>
    <t>Emp_1730</t>
  </si>
  <si>
    <t>Emp_1731</t>
  </si>
  <si>
    <t>Emp_1732</t>
  </si>
  <si>
    <t>Emp_1733</t>
  </si>
  <si>
    <t>Emp_1734</t>
  </si>
  <si>
    <t>Emp_1735</t>
  </si>
  <si>
    <t>Emp_1736</t>
  </si>
  <si>
    <t>Emp_1737</t>
  </si>
  <si>
    <t>Emp_1738</t>
  </si>
  <si>
    <t>Emp_1739</t>
  </si>
  <si>
    <t>Emp_1740</t>
  </si>
  <si>
    <t>Emp_1741</t>
  </si>
  <si>
    <t>Emp_1742</t>
  </si>
  <si>
    <t>Emp_1743</t>
  </si>
  <si>
    <t>Emp_1744</t>
  </si>
  <si>
    <t>Emp_1745</t>
  </si>
  <si>
    <t>Emp_1746</t>
  </si>
  <si>
    <t>Emp_1747</t>
  </si>
  <si>
    <t>Emp_1748</t>
  </si>
  <si>
    <t>Emp_1749</t>
  </si>
  <si>
    <t>Emp_1750</t>
  </si>
  <si>
    <t>Emp_1751</t>
  </si>
  <si>
    <t>Emp_1752</t>
  </si>
  <si>
    <t>Emp_1753</t>
  </si>
  <si>
    <t>Emp_1754</t>
  </si>
  <si>
    <t>Emp_1755</t>
  </si>
  <si>
    <t>Emp_1756</t>
  </si>
  <si>
    <t>Emp_1757</t>
  </si>
  <si>
    <t>Emp_1758</t>
  </si>
  <si>
    <t>Emp_1759</t>
  </si>
  <si>
    <t>Emp_1760</t>
  </si>
  <si>
    <t>Emp_1761</t>
  </si>
  <si>
    <t>Emp_1762</t>
  </si>
  <si>
    <t>Emp_1763</t>
  </si>
  <si>
    <t>Emp_1764</t>
  </si>
  <si>
    <t>Emp_1765</t>
  </si>
  <si>
    <t>Emp_1766</t>
  </si>
  <si>
    <t>Emp_1767</t>
  </si>
  <si>
    <t>Emp_1768</t>
  </si>
  <si>
    <t>Emp_1769</t>
  </si>
  <si>
    <t>Emp_1770</t>
  </si>
  <si>
    <t>Emp_1771</t>
  </si>
  <si>
    <t>Emp_1772</t>
  </si>
  <si>
    <t>Emp_1773</t>
  </si>
  <si>
    <t>Emp_1774</t>
  </si>
  <si>
    <t>Emp_1775</t>
  </si>
  <si>
    <t>Emp_1776</t>
  </si>
  <si>
    <t>Emp_1777</t>
  </si>
  <si>
    <t>Emp_1778</t>
  </si>
  <si>
    <t>Emp_1779</t>
  </si>
  <si>
    <t>Emp_1780</t>
  </si>
  <si>
    <t>Emp_1781</t>
  </si>
  <si>
    <t>Emp_1782</t>
  </si>
  <si>
    <t>Emp_1783</t>
  </si>
  <si>
    <t>Emp_1784</t>
  </si>
  <si>
    <t>Emp_1785</t>
  </si>
  <si>
    <t>Emp_1786</t>
  </si>
  <si>
    <t>Emp_1787</t>
  </si>
  <si>
    <t>Emp_1788</t>
  </si>
  <si>
    <t>Emp_1789</t>
  </si>
  <si>
    <t>Emp_1790</t>
  </si>
  <si>
    <t>Emp_1791</t>
  </si>
  <si>
    <t>Emp_1792</t>
  </si>
  <si>
    <t>Emp_1793</t>
  </si>
  <si>
    <t>Emp_1794</t>
  </si>
  <si>
    <t>Emp_1795</t>
  </si>
  <si>
    <t>Emp_1796</t>
  </si>
  <si>
    <t>Emp_1797</t>
  </si>
  <si>
    <t>Emp_1798</t>
  </si>
  <si>
    <t>Emp_1799</t>
  </si>
  <si>
    <t>Emp_1800</t>
  </si>
  <si>
    <t>Emp_1801</t>
  </si>
  <si>
    <t>Emp_1802</t>
  </si>
  <si>
    <t>Emp_1803</t>
  </si>
  <si>
    <t>Emp_1804</t>
  </si>
  <si>
    <t>Emp_1805</t>
  </si>
  <si>
    <t>Emp_1806</t>
  </si>
  <si>
    <t>Emp_1807</t>
  </si>
  <si>
    <t>Emp_1808</t>
  </si>
  <si>
    <t>Emp_1809</t>
  </si>
  <si>
    <t>Emp_1810</t>
  </si>
  <si>
    <t>Emp_1811</t>
  </si>
  <si>
    <t>Emp_1812</t>
  </si>
  <si>
    <t>Emp_1813</t>
  </si>
  <si>
    <t>Emp_1814</t>
  </si>
  <si>
    <t>Emp_1815</t>
  </si>
  <si>
    <t>Emp_1816</t>
  </si>
  <si>
    <t>Emp_1817</t>
  </si>
  <si>
    <t>Emp_1818</t>
  </si>
  <si>
    <t>Emp_1819</t>
  </si>
  <si>
    <t>Emp_1820</t>
  </si>
  <si>
    <t>Emp_1821</t>
  </si>
  <si>
    <t>Emp_1822</t>
  </si>
  <si>
    <t>Emp_1823</t>
  </si>
  <si>
    <t>Emp_1824</t>
  </si>
  <si>
    <t>Emp_1825</t>
  </si>
  <si>
    <t>Emp_1826</t>
  </si>
  <si>
    <t>Emp_1827</t>
  </si>
  <si>
    <t>Emp_1828</t>
  </si>
  <si>
    <t>Emp_1829</t>
  </si>
  <si>
    <t>Emp_1830</t>
  </si>
  <si>
    <t>Emp_1831</t>
  </si>
  <si>
    <t>Emp_1832</t>
  </si>
  <si>
    <t>Emp_1833</t>
  </si>
  <si>
    <t>Emp_1834</t>
  </si>
  <si>
    <t>Emp_1835</t>
  </si>
  <si>
    <t>Emp_1836</t>
  </si>
  <si>
    <t>Emp_1837</t>
  </si>
  <si>
    <t>Emp_1838</t>
  </si>
  <si>
    <t>Emp_1839</t>
  </si>
  <si>
    <t>Emp_1840</t>
  </si>
  <si>
    <t>Emp_1841</t>
  </si>
  <si>
    <t>Emp_1842</t>
  </si>
  <si>
    <t>Emp_1843</t>
  </si>
  <si>
    <t>Emp_1844</t>
  </si>
  <si>
    <t>Emp_1845</t>
  </si>
  <si>
    <t>Emp_1846</t>
  </si>
  <si>
    <t>Emp_1847</t>
  </si>
  <si>
    <t>Emp_1848</t>
  </si>
  <si>
    <t>Emp_1849</t>
  </si>
  <si>
    <t>Emp_1850</t>
  </si>
  <si>
    <t>Emp_1851</t>
  </si>
  <si>
    <t>Emp_1852</t>
  </si>
  <si>
    <t>Emp_1853</t>
  </si>
  <si>
    <t>Emp_1854</t>
  </si>
  <si>
    <t>Emp_1855</t>
  </si>
  <si>
    <t>Emp_1856</t>
  </si>
  <si>
    <t>Emp_1857</t>
  </si>
  <si>
    <t>Emp_1858</t>
  </si>
  <si>
    <t>Emp_1859</t>
  </si>
  <si>
    <t>Emp_1860</t>
  </si>
  <si>
    <t>Emp_1861</t>
  </si>
  <si>
    <t>Emp_1862</t>
  </si>
  <si>
    <t>Emp_1863</t>
  </si>
  <si>
    <t>Emp_1864</t>
  </si>
  <si>
    <t>Emp_1865</t>
  </si>
  <si>
    <t>Emp_1866</t>
  </si>
  <si>
    <t>Emp_1867</t>
  </si>
  <si>
    <t>Emp_1868</t>
  </si>
  <si>
    <t>Emp_1869</t>
  </si>
  <si>
    <t>Emp_1870</t>
  </si>
  <si>
    <t>Emp_1871</t>
  </si>
  <si>
    <t>Emp_1872</t>
  </si>
  <si>
    <t>Emp_1873</t>
  </si>
  <si>
    <t>Emp_1874</t>
  </si>
  <si>
    <t>Emp_1875</t>
  </si>
  <si>
    <t>Emp_1876</t>
  </si>
  <si>
    <t>Emp_1877</t>
  </si>
  <si>
    <t>Emp_1878</t>
  </si>
  <si>
    <t>Emp_1879</t>
  </si>
  <si>
    <t>Emp_1880</t>
  </si>
  <si>
    <t>Emp_1881</t>
  </si>
  <si>
    <t>Emp_1882</t>
  </si>
  <si>
    <t>Emp_1883</t>
  </si>
  <si>
    <t>Emp_1884</t>
  </si>
  <si>
    <t>Emp_1885</t>
  </si>
  <si>
    <t>Emp_1886</t>
  </si>
  <si>
    <t>Emp_1887</t>
  </si>
  <si>
    <t>Emp_1888</t>
  </si>
  <si>
    <t>Emp_1889</t>
  </si>
  <si>
    <t>Emp_1890</t>
  </si>
  <si>
    <t>Emp_1891</t>
  </si>
  <si>
    <t>Emp_1892</t>
  </si>
  <si>
    <t>Emp_1893</t>
  </si>
  <si>
    <t>Emp_1894</t>
  </si>
  <si>
    <t>Emp_1895</t>
  </si>
  <si>
    <t>Emp_1896</t>
  </si>
  <si>
    <t>Emp_1897</t>
  </si>
  <si>
    <t>Emp_1898</t>
  </si>
  <si>
    <t>Emp_1899</t>
  </si>
  <si>
    <t>Emp_1900</t>
  </si>
  <si>
    <t>Emp_1901</t>
  </si>
  <si>
    <t>Emp_1902</t>
  </si>
  <si>
    <t>Emp_1903</t>
  </si>
  <si>
    <t>Emp_1904</t>
  </si>
  <si>
    <t>Emp_1905</t>
  </si>
  <si>
    <t>Emp_1906</t>
  </si>
  <si>
    <t>Emp_1907</t>
  </si>
  <si>
    <t>Emp_1908</t>
  </si>
  <si>
    <t>Emp_1909</t>
  </si>
  <si>
    <t>Emp_1910</t>
  </si>
  <si>
    <t>Emp_1911</t>
  </si>
  <si>
    <t>Emp_1912</t>
  </si>
  <si>
    <t>Emp_1913</t>
  </si>
  <si>
    <t>Emp_1914</t>
  </si>
  <si>
    <t>Emp_1915</t>
  </si>
  <si>
    <t>Emp_1916</t>
  </si>
  <si>
    <t>Emp_1917</t>
  </si>
  <si>
    <t>Emp_1918</t>
  </si>
  <si>
    <t>Emp_1919</t>
  </si>
  <si>
    <t>Emp_1920</t>
  </si>
  <si>
    <t>Emp_1921</t>
  </si>
  <si>
    <t>Emp_1922</t>
  </si>
  <si>
    <t>Emp_1923</t>
  </si>
  <si>
    <t>Emp_1924</t>
  </si>
  <si>
    <t>Emp_1925</t>
  </si>
  <si>
    <t>Emp_1926</t>
  </si>
  <si>
    <t>Emp_1927</t>
  </si>
  <si>
    <t>Emp_1928</t>
  </si>
  <si>
    <t>Emp_1929</t>
  </si>
  <si>
    <t>Emp_1930</t>
  </si>
  <si>
    <t>Emp_1931</t>
  </si>
  <si>
    <t>Emp_1932</t>
  </si>
  <si>
    <t>Emp_1933</t>
  </si>
  <si>
    <t>Emp_1934</t>
  </si>
  <si>
    <t>Emp_1935</t>
  </si>
  <si>
    <t>Emp_1936</t>
  </si>
  <si>
    <t>Emp_1937</t>
  </si>
  <si>
    <t>Emp_1938</t>
  </si>
  <si>
    <t>Emp_1939</t>
  </si>
  <si>
    <t>Emp_1940</t>
  </si>
  <si>
    <t>Emp_1941</t>
  </si>
  <si>
    <t>Emp_1942</t>
  </si>
  <si>
    <t>Emp_1943</t>
  </si>
  <si>
    <t>Emp_1944</t>
  </si>
  <si>
    <t>Emp_1945</t>
  </si>
  <si>
    <t>Emp_1946</t>
  </si>
  <si>
    <t>Emp_1947</t>
  </si>
  <si>
    <t>Emp_1948</t>
  </si>
  <si>
    <t>Emp_1949</t>
  </si>
  <si>
    <t>Emp_1950</t>
  </si>
  <si>
    <t>Emp_1951</t>
  </si>
  <si>
    <t>Emp_1952</t>
  </si>
  <si>
    <t>Emp_1953</t>
  </si>
  <si>
    <t>Emp_1954</t>
  </si>
  <si>
    <t>Emp_1955</t>
  </si>
  <si>
    <t>Emp_1956</t>
  </si>
  <si>
    <t>Emp_1957</t>
  </si>
  <si>
    <t>Emp_1958</t>
  </si>
  <si>
    <t>Emp_1959</t>
  </si>
  <si>
    <t>Emp_1960</t>
  </si>
  <si>
    <t>Emp_1961</t>
  </si>
  <si>
    <t>Emp_1962</t>
  </si>
  <si>
    <t>Emp_1963</t>
  </si>
  <si>
    <t>Emp_1964</t>
  </si>
  <si>
    <t>Emp_1965</t>
  </si>
  <si>
    <t>Emp_1966</t>
  </si>
  <si>
    <t>Emp_1967</t>
  </si>
  <si>
    <t>Emp_1968</t>
  </si>
  <si>
    <t>Emp_1969</t>
  </si>
  <si>
    <t>Emp_1970</t>
  </si>
  <si>
    <t>Emp_1971</t>
  </si>
  <si>
    <t>Emp_1972</t>
  </si>
  <si>
    <t>Emp_1973</t>
  </si>
  <si>
    <t>Emp_1974</t>
  </si>
  <si>
    <t>Emp_1975</t>
  </si>
  <si>
    <t>Emp_1976</t>
  </si>
  <si>
    <t>Emp_1977</t>
  </si>
  <si>
    <t>Emp_1978</t>
  </si>
  <si>
    <t>Emp_1979</t>
  </si>
  <si>
    <t>Emp_1980</t>
  </si>
  <si>
    <t>Emp_1981</t>
  </si>
  <si>
    <t>Emp_1982</t>
  </si>
  <si>
    <t>Emp_1983</t>
  </si>
  <si>
    <t>Emp_1984</t>
  </si>
  <si>
    <t>Emp_1985</t>
  </si>
  <si>
    <t>Emp_1986</t>
  </si>
  <si>
    <t>Emp_1987</t>
  </si>
  <si>
    <t>Emp_1988</t>
  </si>
  <si>
    <t>Emp_1989</t>
  </si>
  <si>
    <t>Emp_1990</t>
  </si>
  <si>
    <t>Emp_1991</t>
  </si>
  <si>
    <t>Emp_1992</t>
  </si>
  <si>
    <t>Emp_1993</t>
  </si>
  <si>
    <t>Emp_1994</t>
  </si>
  <si>
    <t>Emp_1995</t>
  </si>
  <si>
    <t>Emp_1996</t>
  </si>
  <si>
    <t>Emp_1997</t>
  </si>
  <si>
    <t>Emp_1998</t>
  </si>
  <si>
    <t>Emp_1999</t>
  </si>
  <si>
    <t>Emp_2000</t>
  </si>
  <si>
    <t>Marketing</t>
  </si>
  <si>
    <t>Count of Salary</t>
  </si>
  <si>
    <t>Count of Employee_ID</t>
  </si>
  <si>
    <t>Column Labels</t>
  </si>
  <si>
    <t>HR ANALYTICS DASHBOARD</t>
  </si>
  <si>
    <t>Employee, Attrition &amp; Compensation Insights</t>
  </si>
  <si>
    <t>Avg 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</si>
</sst>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u/>
      <sz val="18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2" borderId="1" xfId="0" applyFont="1" applyFill="1" applyBorder="1"/>
    <xf numFmtId="0" fontId="0" fillId="0" borderId="0" xfId="0" applyAlignmen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0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wrapText="1"/>
    </xf>
    <xf numFmtId="0" fontId="0" fillId="0" borderId="0" xfId="0" pivotButton="1" applyAlignment="1"/>
    <xf numFmtId="0" fontId="0" fillId="0" borderId="0" xfId="0" applyNumberFormat="1" applyAlignment="1"/>
    <xf numFmtId="0" fontId="8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8">
    <dxf>
      <alignment wrapText="1" readingOrder="0"/>
    </dxf>
    <dxf>
      <alignment wrapText="1" readingOrder="0"/>
    </dxf>
    <dxf>
      <alignment wrapTex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[HR_Analytics_Dashboard.xlsx]Analysis!Department-wise Employee Count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b="0"/>
              <a:t>Employees by Department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Analysis!$D$3:$D$10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Analysis!$E$3:$E$10</c:f>
              <c:numCache>
                <c:formatCode>General</c:formatCode>
                <c:ptCount val="7"/>
                <c:pt idx="0">
                  <c:v>320</c:v>
                </c:pt>
                <c:pt idx="1">
                  <c:v>347</c:v>
                </c:pt>
                <c:pt idx="2">
                  <c:v>323</c:v>
                </c:pt>
                <c:pt idx="3">
                  <c:v>333</c:v>
                </c:pt>
                <c:pt idx="4">
                  <c:v>319</c:v>
                </c:pt>
                <c:pt idx="5">
                  <c:v>319</c:v>
                </c:pt>
                <c:pt idx="6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406208"/>
        <c:axId val="149555072"/>
      </c:barChart>
      <c:catAx>
        <c:axId val="147406208"/>
        <c:scaling>
          <c:orientation val="minMax"/>
        </c:scaling>
        <c:delete val="0"/>
        <c:axPos val="b"/>
        <c:majorTickMark val="out"/>
        <c:minorTickMark val="none"/>
        <c:tickLblPos val="nextTo"/>
        <c:crossAx val="149555072"/>
        <c:crosses val="autoZero"/>
        <c:auto val="1"/>
        <c:lblAlgn val="ctr"/>
        <c:lblOffset val="100"/>
        <c:noMultiLvlLbl val="0"/>
      </c:catAx>
      <c:valAx>
        <c:axId val="14955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4062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[HR_Analytics_Dashboard.xlsx]Analysis!Department-wise Attrition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Attrition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Analysis!$H$2:$H$3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Analysis!$G$4:$G$11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Analysis!$H$4:$H$11</c:f>
              <c:numCache>
                <c:formatCode>General</c:formatCode>
                <c:ptCount val="7"/>
                <c:pt idx="0">
                  <c:v>55</c:v>
                </c:pt>
                <c:pt idx="1">
                  <c:v>69</c:v>
                </c:pt>
                <c:pt idx="2">
                  <c:v>63</c:v>
                </c:pt>
                <c:pt idx="3">
                  <c:v>70</c:v>
                </c:pt>
                <c:pt idx="4">
                  <c:v>59</c:v>
                </c:pt>
                <c:pt idx="5">
                  <c:v>68</c:v>
                </c:pt>
                <c:pt idx="6">
                  <c:v>6</c:v>
                </c:pt>
              </c:numCache>
            </c:numRef>
          </c:val>
        </c:ser>
        <c:ser>
          <c:idx val="1"/>
          <c:order val="1"/>
          <c:tx>
            <c:strRef>
              <c:f>Analysis!$I$2:$I$3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Analysis!$G$4:$G$11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Analysis!$I$4:$I$11</c:f>
              <c:numCache>
                <c:formatCode>General</c:formatCode>
                <c:ptCount val="7"/>
                <c:pt idx="0">
                  <c:v>258</c:v>
                </c:pt>
                <c:pt idx="1">
                  <c:v>271</c:v>
                </c:pt>
                <c:pt idx="2">
                  <c:v>253</c:v>
                </c:pt>
                <c:pt idx="3">
                  <c:v>258</c:v>
                </c:pt>
                <c:pt idx="4">
                  <c:v>257</c:v>
                </c:pt>
                <c:pt idx="5">
                  <c:v>245</c:v>
                </c:pt>
                <c:pt idx="6">
                  <c:v>28</c:v>
                </c:pt>
              </c:numCache>
            </c:numRef>
          </c:val>
        </c:ser>
        <c:ser>
          <c:idx val="2"/>
          <c:order val="2"/>
          <c:tx>
            <c:strRef>
              <c:f>Analysis!$J$2:$J$3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cat>
            <c:strRef>
              <c:f>Analysis!$G$4:$G$11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Analysis!$J$4:$J$11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774720"/>
        <c:axId val="215776256"/>
      </c:barChart>
      <c:catAx>
        <c:axId val="2157747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5776256"/>
        <c:crosses val="autoZero"/>
        <c:auto val="1"/>
        <c:lblAlgn val="ctr"/>
        <c:lblOffset val="100"/>
        <c:noMultiLvlLbl val="0"/>
      </c:catAx>
      <c:valAx>
        <c:axId val="21577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774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[HR_Analytics_Dashboard.xlsx]Analysis!Gender Distribution 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Gender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Analysis!$B$13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Analysis!$A$14:$A$17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Analysis!$B$14:$B$17</c:f>
              <c:numCache>
                <c:formatCode>General</c:formatCode>
                <c:ptCount val="3"/>
                <c:pt idx="0">
                  <c:v>1003</c:v>
                </c:pt>
                <c:pt idx="1">
                  <c:v>958</c:v>
                </c:pt>
                <c:pt idx="2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[HR_Analytics_Dashboard.xlsx]Analysis!Job Role-wise Employee count 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Employees by Job Role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Analysis!$D$14:$D$19</c:f>
              <c:strCache>
                <c:ptCount val="5"/>
                <c:pt idx="0">
                  <c:v>Analyst</c:v>
                </c:pt>
                <c:pt idx="1">
                  <c:v>Consultant</c:v>
                </c:pt>
                <c:pt idx="2">
                  <c:v>Engineer</c:v>
                </c:pt>
                <c:pt idx="3">
                  <c:v>Executive</c:v>
                </c:pt>
                <c:pt idx="4">
                  <c:v>Manager</c:v>
                </c:pt>
              </c:strCache>
            </c:strRef>
          </c:cat>
          <c:val>
            <c:numRef>
              <c:f>Analysis!$E$14:$E$19</c:f>
              <c:numCache>
                <c:formatCode>General</c:formatCode>
                <c:ptCount val="5"/>
                <c:pt idx="0">
                  <c:v>416</c:v>
                </c:pt>
                <c:pt idx="1">
                  <c:v>409</c:v>
                </c:pt>
                <c:pt idx="2">
                  <c:v>387</c:v>
                </c:pt>
                <c:pt idx="3">
                  <c:v>382</c:v>
                </c:pt>
                <c:pt idx="4">
                  <c:v>406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284736"/>
        <c:axId val="175128960"/>
      </c:barChart>
      <c:catAx>
        <c:axId val="147284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75128960"/>
        <c:crosses val="autoZero"/>
        <c:auto val="1"/>
        <c:lblAlgn val="ctr"/>
        <c:lblOffset val="100"/>
        <c:noMultiLvlLbl val="0"/>
      </c:catAx>
      <c:valAx>
        <c:axId val="1751289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7284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[HR_Analytics_Dashboard.xlsx]Analysis!Education-wise Employee Count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Employees by Education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Analysis!$G$14:$G$18</c:f>
              <c:strCache>
                <c:ptCount val="4"/>
                <c:pt idx="0">
                  <c:v>Bachelors</c:v>
                </c:pt>
                <c:pt idx="1">
                  <c:v>High School</c:v>
                </c:pt>
                <c:pt idx="2">
                  <c:v>Masters</c:v>
                </c:pt>
                <c:pt idx="3">
                  <c:v>PhD</c:v>
                </c:pt>
              </c:strCache>
            </c:strRef>
          </c:cat>
          <c:val>
            <c:numRef>
              <c:f>Analysis!$H$14:$H$18</c:f>
              <c:numCache>
                <c:formatCode>General</c:formatCode>
                <c:ptCount val="4"/>
                <c:pt idx="0">
                  <c:v>509</c:v>
                </c:pt>
                <c:pt idx="1">
                  <c:v>490</c:v>
                </c:pt>
                <c:pt idx="2">
                  <c:v>521</c:v>
                </c:pt>
                <c:pt idx="3">
                  <c:v>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58656"/>
        <c:axId val="147313408"/>
      </c:barChart>
      <c:catAx>
        <c:axId val="146758656"/>
        <c:scaling>
          <c:orientation val="minMax"/>
        </c:scaling>
        <c:delete val="0"/>
        <c:axPos val="b"/>
        <c:majorTickMark val="out"/>
        <c:minorTickMark val="none"/>
        <c:tickLblPos val="nextTo"/>
        <c:crossAx val="147313408"/>
        <c:crosses val="autoZero"/>
        <c:auto val="1"/>
        <c:lblAlgn val="ctr"/>
        <c:lblOffset val="100"/>
        <c:noMultiLvlLbl val="0"/>
      </c:catAx>
      <c:valAx>
        <c:axId val="14731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6758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171450</xdr:rowOff>
    </xdr:from>
    <xdr:to>
      <xdr:col>5</xdr:col>
      <xdr:colOff>571500</xdr:colOff>
      <xdr:row>20</xdr:row>
      <xdr:rowOff>28575</xdr:rowOff>
    </xdr:to>
    <xdr:graphicFrame macro="">
      <xdr:nvGraphicFramePr>
        <xdr:cNvPr id="2" name="Chart 1" title="Employees by Departmen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619125</xdr:colOff>
      <xdr:row>8</xdr:row>
      <xdr:rowOff>161925</xdr:rowOff>
    </xdr:from>
    <xdr:to>
      <xdr:col>12</xdr:col>
      <xdr:colOff>180974</xdr:colOff>
      <xdr:row>20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20</xdr:row>
      <xdr:rowOff>76200</xdr:rowOff>
    </xdr:from>
    <xdr:to>
      <xdr:col>5</xdr:col>
      <xdr:colOff>542924</xdr:colOff>
      <xdr:row>30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590548</xdr:colOff>
      <xdr:row>20</xdr:row>
      <xdr:rowOff>76201</xdr:rowOff>
    </xdr:from>
    <xdr:to>
      <xdr:col>12</xdr:col>
      <xdr:colOff>123825</xdr:colOff>
      <xdr:row>30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238125</xdr:colOff>
      <xdr:row>30</xdr:row>
      <xdr:rowOff>133350</xdr:rowOff>
    </xdr:from>
    <xdr:to>
      <xdr:col>10</xdr:col>
      <xdr:colOff>552450</xdr:colOff>
      <xdr:row>44</xdr:row>
      <xdr:rowOff>123825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52.483056712961" createdVersion="4" refreshedVersion="4" minRefreshableVersion="3" recordCount="2000">
  <cacheSource type="worksheet">
    <worksheetSource name="HR_Data"/>
  </cacheSource>
  <cacheFields count="11">
    <cacheField name="Employee_ID" numFmtId="0">
      <sharedItems containsSemiMixedTypes="0" containsString="0" containsNumber="1" containsInteger="1" minValue="1001" maxValue="3000"/>
    </cacheField>
    <cacheField name="Name" numFmtId="0">
      <sharedItems/>
    </cacheField>
    <cacheField name="Department" numFmtId="0">
      <sharedItems count="7">
        <s v="Sales"/>
        <s v="Marketing"/>
        <s v="IT"/>
        <s v="Finance"/>
        <s v="Operations"/>
        <s v="HR"/>
        <s v="Unknown"/>
      </sharedItems>
    </cacheField>
    <cacheField name="Gender" numFmtId="0">
      <sharedItems count="3">
        <s v="Male"/>
        <s v="Female"/>
        <s v="Unknown"/>
      </sharedItems>
    </cacheField>
    <cacheField name="Job_Role" numFmtId="0">
      <sharedItems count="5">
        <s v="Manager"/>
        <s v="Consultant"/>
        <s v="Executive"/>
        <s v="Engineer"/>
        <s v="Analyst"/>
      </sharedItems>
    </cacheField>
    <cacheField name="Education" numFmtId="0">
      <sharedItems count="4">
        <s v="High School"/>
        <s v="Masters"/>
        <s v="PhD"/>
        <s v="Bachelors"/>
      </sharedItems>
    </cacheField>
    <cacheField name="Age" numFmtId="0">
      <sharedItems containsSemiMixedTypes="0" containsString="0" containsNumber="1" containsInteger="1" minValue="22" maxValue="59"/>
    </cacheField>
    <cacheField name="Salary" numFmtId="44">
      <sharedItems containsSemiMixedTypes="0" containsString="0" containsNumber="1" minValue="20002" maxValue="119981"/>
    </cacheField>
    <cacheField name="Bonus" numFmtId="44">
      <sharedItems containsSemiMixedTypes="0" containsString="0" containsNumber="1" containsInteger="1" minValue="5011" maxValue="29993"/>
    </cacheField>
    <cacheField name="Attrition" numFmtId="0">
      <sharedItems count="3">
        <s v="No"/>
        <s v="Yes"/>
        <s v="Unknown"/>
      </sharedItems>
    </cacheField>
    <cacheField name="TotalCoMalepensation" numFmtId="44">
      <sharedItems containsSemiMixedTypes="0" containsString="0" containsNumber="1" minValue="25825" maxValue="1490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n v="1001"/>
    <s v="Emp_1"/>
    <x v="0"/>
    <x v="0"/>
    <x v="0"/>
    <x v="0"/>
    <n v="39"/>
    <n v="39239"/>
    <n v="6909"/>
    <x v="0"/>
    <n v="46148"/>
  </r>
  <r>
    <n v="1002"/>
    <s v="Emp_2"/>
    <x v="1"/>
    <x v="0"/>
    <x v="1"/>
    <x v="1"/>
    <n v="53"/>
    <n v="30416"/>
    <n v="17150"/>
    <x v="0"/>
    <n v="47566"/>
  </r>
  <r>
    <n v="1003"/>
    <s v="Emp_3"/>
    <x v="2"/>
    <x v="1"/>
    <x v="2"/>
    <x v="0"/>
    <n v="24"/>
    <n v="23412"/>
    <n v="28602"/>
    <x v="0"/>
    <n v="52014"/>
  </r>
  <r>
    <n v="1004"/>
    <s v="Emp_4"/>
    <x v="1"/>
    <x v="1"/>
    <x v="3"/>
    <x v="1"/>
    <n v="23"/>
    <n v="101976"/>
    <n v="5080"/>
    <x v="0"/>
    <n v="107056"/>
  </r>
  <r>
    <n v="1005"/>
    <s v="Emp_5"/>
    <x v="1"/>
    <x v="0"/>
    <x v="2"/>
    <x v="2"/>
    <n v="54"/>
    <n v="44406"/>
    <n v="7083"/>
    <x v="0"/>
    <n v="51489"/>
  </r>
  <r>
    <n v="1006"/>
    <s v="Emp_6"/>
    <x v="3"/>
    <x v="1"/>
    <x v="1"/>
    <x v="2"/>
    <n v="40"/>
    <n v="21875"/>
    <n v="18378"/>
    <x v="0"/>
    <n v="40253"/>
  </r>
  <r>
    <n v="1007"/>
    <s v="Emp_7"/>
    <x v="2"/>
    <x v="0"/>
    <x v="0"/>
    <x v="1"/>
    <n v="38"/>
    <n v="57066"/>
    <n v="20217"/>
    <x v="0"/>
    <n v="77283"/>
  </r>
  <r>
    <n v="1008"/>
    <s v="Emp_8"/>
    <x v="2"/>
    <x v="0"/>
    <x v="4"/>
    <x v="3"/>
    <n v="54"/>
    <n v="25752"/>
    <n v="23074"/>
    <x v="0"/>
    <n v="48826"/>
  </r>
  <r>
    <n v="1009"/>
    <s v="Emp_9"/>
    <x v="2"/>
    <x v="0"/>
    <x v="1"/>
    <x v="0"/>
    <n v="33"/>
    <n v="106753"/>
    <n v="22140"/>
    <x v="0"/>
    <n v="128893"/>
  </r>
  <r>
    <n v="1010"/>
    <s v="Emp_10"/>
    <x v="1"/>
    <x v="0"/>
    <x v="0"/>
    <x v="2"/>
    <n v="24"/>
    <n v="98025"/>
    <n v="7670"/>
    <x v="1"/>
    <n v="105695"/>
  </r>
  <r>
    <n v="1011"/>
    <s v="Emp_11"/>
    <x v="0"/>
    <x v="1"/>
    <x v="3"/>
    <x v="3"/>
    <n v="47"/>
    <n v="21353"/>
    <n v="8751"/>
    <x v="0"/>
    <n v="30104"/>
  </r>
  <r>
    <n v="1012"/>
    <s v="Emp_12"/>
    <x v="2"/>
    <x v="0"/>
    <x v="2"/>
    <x v="0"/>
    <n v="56"/>
    <n v="46986"/>
    <n v="16744"/>
    <x v="0"/>
    <n v="63730"/>
  </r>
  <r>
    <n v="1013"/>
    <s v="Emp_13"/>
    <x v="4"/>
    <x v="1"/>
    <x v="2"/>
    <x v="2"/>
    <n v="29"/>
    <n v="106907"/>
    <n v="10261"/>
    <x v="0"/>
    <n v="117168"/>
  </r>
  <r>
    <n v="1014"/>
    <s v="Emp_14"/>
    <x v="1"/>
    <x v="1"/>
    <x v="2"/>
    <x v="2"/>
    <n v="57"/>
    <n v="34691"/>
    <n v="19691"/>
    <x v="0"/>
    <n v="54382"/>
  </r>
  <r>
    <n v="1015"/>
    <s v="Emp_15"/>
    <x v="3"/>
    <x v="1"/>
    <x v="3"/>
    <x v="1"/>
    <n v="28"/>
    <n v="89847"/>
    <n v="11852"/>
    <x v="0"/>
    <n v="101699"/>
  </r>
  <r>
    <n v="1016"/>
    <s v="Emp_16"/>
    <x v="0"/>
    <x v="1"/>
    <x v="0"/>
    <x v="0"/>
    <n v="57"/>
    <n v="68075"/>
    <n v="6494"/>
    <x v="0"/>
    <n v="74569"/>
  </r>
  <r>
    <n v="1017"/>
    <s v="Emp_17"/>
    <x v="4"/>
    <x v="0"/>
    <x v="3"/>
    <x v="3"/>
    <n v="37"/>
    <n v="30794"/>
    <n v="27124"/>
    <x v="0"/>
    <n v="57918"/>
  </r>
  <r>
    <n v="1018"/>
    <s v="Emp_18"/>
    <x v="4"/>
    <x v="1"/>
    <x v="2"/>
    <x v="3"/>
    <n v="45"/>
    <n v="88470"/>
    <n v="29439"/>
    <x v="0"/>
    <n v="117909"/>
  </r>
  <r>
    <n v="1019"/>
    <s v="Emp_19"/>
    <x v="3"/>
    <x v="0"/>
    <x v="1"/>
    <x v="3"/>
    <n v="22"/>
    <n v="36406"/>
    <n v="22285"/>
    <x v="0"/>
    <n v="58691"/>
  </r>
  <r>
    <n v="1020"/>
    <s v="Emp_20"/>
    <x v="0"/>
    <x v="1"/>
    <x v="4"/>
    <x v="0"/>
    <n v="46"/>
    <n v="95930"/>
    <n v="5672"/>
    <x v="1"/>
    <n v="101602"/>
  </r>
  <r>
    <n v="1021"/>
    <s v="Emp_21"/>
    <x v="1"/>
    <x v="1"/>
    <x v="3"/>
    <x v="3"/>
    <n v="31"/>
    <n v="46872"/>
    <n v="13630"/>
    <x v="2"/>
    <n v="60502"/>
  </r>
  <r>
    <n v="1022"/>
    <s v="Emp_22"/>
    <x v="5"/>
    <x v="0"/>
    <x v="3"/>
    <x v="3"/>
    <n v="37"/>
    <n v="61708"/>
    <n v="15268"/>
    <x v="2"/>
    <n v="76976"/>
  </r>
  <r>
    <n v="1023"/>
    <s v="Emp_23"/>
    <x v="0"/>
    <x v="0"/>
    <x v="0"/>
    <x v="3"/>
    <n v="37"/>
    <n v="40800"/>
    <n v="5444"/>
    <x v="0"/>
    <n v="46244"/>
  </r>
  <r>
    <n v="1024"/>
    <s v="Emp_24"/>
    <x v="3"/>
    <x v="0"/>
    <x v="0"/>
    <x v="1"/>
    <n v="29"/>
    <n v="63397"/>
    <n v="14157"/>
    <x v="0"/>
    <n v="77554"/>
  </r>
  <r>
    <n v="1025"/>
    <s v="Emp_25"/>
    <x v="4"/>
    <x v="1"/>
    <x v="3"/>
    <x v="1"/>
    <n v="50"/>
    <n v="57909"/>
    <n v="16982"/>
    <x v="0"/>
    <n v="74891"/>
  </r>
  <r>
    <n v="1026"/>
    <s v="Emp_26"/>
    <x v="1"/>
    <x v="1"/>
    <x v="2"/>
    <x v="0"/>
    <n v="49"/>
    <n v="41352"/>
    <n v="13655"/>
    <x v="0"/>
    <n v="55007"/>
  </r>
  <r>
    <n v="1027"/>
    <s v="Emp_27"/>
    <x v="0"/>
    <x v="0"/>
    <x v="4"/>
    <x v="0"/>
    <n v="27"/>
    <n v="113848"/>
    <n v="23582"/>
    <x v="0"/>
    <n v="137430"/>
  </r>
  <r>
    <n v="1028"/>
    <s v="Emp_28"/>
    <x v="5"/>
    <x v="0"/>
    <x v="0"/>
    <x v="3"/>
    <n v="37"/>
    <n v="35438"/>
    <n v="7287"/>
    <x v="0"/>
    <n v="42725"/>
  </r>
  <r>
    <n v="1029"/>
    <s v="Emp_29"/>
    <x v="5"/>
    <x v="0"/>
    <x v="2"/>
    <x v="1"/>
    <n v="41"/>
    <n v="108921"/>
    <n v="16957"/>
    <x v="0"/>
    <n v="125878"/>
  </r>
  <r>
    <n v="1030"/>
    <s v="Emp_30"/>
    <x v="2"/>
    <x v="0"/>
    <x v="1"/>
    <x v="2"/>
    <n v="37"/>
    <n v="64999"/>
    <n v="9008"/>
    <x v="0"/>
    <n v="74007"/>
  </r>
  <r>
    <n v="1031"/>
    <s v="Emp_31"/>
    <x v="2"/>
    <x v="1"/>
    <x v="0"/>
    <x v="2"/>
    <n v="28"/>
    <n v="38482"/>
    <n v="16696"/>
    <x v="0"/>
    <n v="55178"/>
  </r>
  <r>
    <n v="1032"/>
    <s v="Emp_32"/>
    <x v="3"/>
    <x v="0"/>
    <x v="2"/>
    <x v="3"/>
    <n v="35"/>
    <n v="52471"/>
    <n v="14104"/>
    <x v="0"/>
    <n v="66575"/>
  </r>
  <r>
    <n v="1033"/>
    <s v="Emp_33"/>
    <x v="0"/>
    <x v="0"/>
    <x v="2"/>
    <x v="3"/>
    <n v="47"/>
    <n v="67279"/>
    <n v="5496"/>
    <x v="0"/>
    <n v="72775"/>
  </r>
  <r>
    <n v="1034"/>
    <s v="Emp_34"/>
    <x v="0"/>
    <x v="0"/>
    <x v="4"/>
    <x v="1"/>
    <n v="47"/>
    <n v="74213"/>
    <n v="6463"/>
    <x v="0"/>
    <n v="80676"/>
  </r>
  <r>
    <n v="1035"/>
    <s v="Emp_35"/>
    <x v="4"/>
    <x v="0"/>
    <x v="4"/>
    <x v="1"/>
    <n v="35"/>
    <n v="33026"/>
    <n v="28212"/>
    <x v="0"/>
    <n v="61238"/>
  </r>
  <r>
    <n v="1036"/>
    <s v="Emp_36"/>
    <x v="4"/>
    <x v="1"/>
    <x v="1"/>
    <x v="1"/>
    <n v="28"/>
    <n v="105184"/>
    <n v="25637"/>
    <x v="0"/>
    <n v="130821"/>
  </r>
  <r>
    <n v="1037"/>
    <s v="Emp_37"/>
    <x v="4"/>
    <x v="0"/>
    <x v="2"/>
    <x v="0"/>
    <n v="54"/>
    <n v="25435"/>
    <n v="17459"/>
    <x v="0"/>
    <n v="42894"/>
  </r>
  <r>
    <n v="1038"/>
    <s v="Emp_38"/>
    <x v="2"/>
    <x v="1"/>
    <x v="2"/>
    <x v="0"/>
    <n v="47"/>
    <n v="28493"/>
    <n v="21877"/>
    <x v="0"/>
    <n v="50370"/>
  </r>
  <r>
    <n v="1039"/>
    <s v="Emp_39"/>
    <x v="0"/>
    <x v="0"/>
    <x v="4"/>
    <x v="3"/>
    <n v="41"/>
    <n v="92227"/>
    <n v="26449"/>
    <x v="0"/>
    <n v="118676"/>
  </r>
  <r>
    <n v="1040"/>
    <s v="Emp_40"/>
    <x v="0"/>
    <x v="0"/>
    <x v="0"/>
    <x v="0"/>
    <n v="24"/>
    <n v="79321"/>
    <n v="26814"/>
    <x v="0"/>
    <n v="106135"/>
  </r>
  <r>
    <n v="1041"/>
    <s v="Emp_41"/>
    <x v="5"/>
    <x v="1"/>
    <x v="0"/>
    <x v="1"/>
    <n v="25"/>
    <n v="22763"/>
    <n v="22810"/>
    <x v="0"/>
    <n v="45573"/>
  </r>
  <r>
    <n v="1042"/>
    <s v="Emp_42"/>
    <x v="2"/>
    <x v="0"/>
    <x v="3"/>
    <x v="1"/>
    <n v="47"/>
    <n v="40389"/>
    <n v="14884"/>
    <x v="0"/>
    <n v="55273"/>
  </r>
  <r>
    <n v="1043"/>
    <s v="Emp_43"/>
    <x v="1"/>
    <x v="1"/>
    <x v="4"/>
    <x v="0"/>
    <n v="32"/>
    <n v="51498"/>
    <n v="23177"/>
    <x v="1"/>
    <n v="74675"/>
  </r>
  <r>
    <n v="1044"/>
    <s v="Emp_44"/>
    <x v="6"/>
    <x v="1"/>
    <x v="3"/>
    <x v="2"/>
    <n v="23"/>
    <n v="83755"/>
    <n v="7723"/>
    <x v="0"/>
    <n v="91478"/>
  </r>
  <r>
    <n v="1045"/>
    <s v="Emp_45"/>
    <x v="1"/>
    <x v="0"/>
    <x v="4"/>
    <x v="3"/>
    <n v="35"/>
    <n v="55825"/>
    <n v="22042"/>
    <x v="1"/>
    <n v="77867"/>
  </r>
  <r>
    <n v="1046"/>
    <s v="Emp_46"/>
    <x v="5"/>
    <x v="1"/>
    <x v="1"/>
    <x v="2"/>
    <n v="51"/>
    <n v="36934"/>
    <n v="9761"/>
    <x v="1"/>
    <n v="46695"/>
  </r>
  <r>
    <n v="1047"/>
    <s v="Emp_47"/>
    <x v="3"/>
    <x v="1"/>
    <x v="2"/>
    <x v="3"/>
    <n v="33"/>
    <n v="25574"/>
    <n v="12630"/>
    <x v="0"/>
    <n v="38204"/>
  </r>
  <r>
    <n v="1048"/>
    <s v="Emp_48"/>
    <x v="0"/>
    <x v="1"/>
    <x v="1"/>
    <x v="2"/>
    <n v="47"/>
    <n v="58179"/>
    <n v="21375"/>
    <x v="0"/>
    <n v="79554"/>
  </r>
  <r>
    <n v="1049"/>
    <s v="Emp_49"/>
    <x v="5"/>
    <x v="1"/>
    <x v="4"/>
    <x v="0"/>
    <n v="54"/>
    <n v="21587"/>
    <n v="13741"/>
    <x v="2"/>
    <n v="35328"/>
  </r>
  <r>
    <n v="1050"/>
    <s v="Emp_50"/>
    <x v="0"/>
    <x v="1"/>
    <x v="2"/>
    <x v="3"/>
    <n v="34"/>
    <n v="62782"/>
    <n v="9350"/>
    <x v="1"/>
    <n v="72132"/>
  </r>
  <r>
    <n v="1051"/>
    <s v="Emp_51"/>
    <x v="4"/>
    <x v="1"/>
    <x v="0"/>
    <x v="3"/>
    <n v="35"/>
    <n v="74412"/>
    <n v="5207"/>
    <x v="1"/>
    <n v="79619"/>
  </r>
  <r>
    <n v="1052"/>
    <s v="Emp_52"/>
    <x v="3"/>
    <x v="1"/>
    <x v="0"/>
    <x v="3"/>
    <n v="45"/>
    <n v="80561"/>
    <n v="9190"/>
    <x v="0"/>
    <n v="89751"/>
  </r>
  <r>
    <n v="1053"/>
    <s v="Emp_53"/>
    <x v="3"/>
    <x v="1"/>
    <x v="3"/>
    <x v="1"/>
    <n v="55"/>
    <n v="97224"/>
    <n v="6883"/>
    <x v="2"/>
    <n v="104107"/>
  </r>
  <r>
    <n v="1054"/>
    <s v="Emp_54"/>
    <x v="5"/>
    <x v="0"/>
    <x v="4"/>
    <x v="1"/>
    <n v="47"/>
    <n v="24409"/>
    <n v="7886"/>
    <x v="0"/>
    <n v="32295"/>
  </r>
  <r>
    <n v="1055"/>
    <s v="Emp_55"/>
    <x v="3"/>
    <x v="2"/>
    <x v="4"/>
    <x v="2"/>
    <n v="42"/>
    <n v="91319"/>
    <n v="21861"/>
    <x v="0"/>
    <n v="113180"/>
  </r>
  <r>
    <n v="1056"/>
    <s v="Emp_56"/>
    <x v="1"/>
    <x v="1"/>
    <x v="0"/>
    <x v="0"/>
    <n v="49"/>
    <n v="119016"/>
    <n v="13953"/>
    <x v="0"/>
    <n v="132969"/>
  </r>
  <r>
    <n v="1057"/>
    <s v="Emp_57"/>
    <x v="3"/>
    <x v="0"/>
    <x v="1"/>
    <x v="1"/>
    <n v="57"/>
    <n v="46751"/>
    <n v="13381"/>
    <x v="0"/>
    <n v="60132"/>
  </r>
  <r>
    <n v="1058"/>
    <s v="Emp_58"/>
    <x v="0"/>
    <x v="0"/>
    <x v="2"/>
    <x v="3"/>
    <n v="23"/>
    <n v="58174"/>
    <n v="28238"/>
    <x v="0"/>
    <n v="86412"/>
  </r>
  <r>
    <n v="1059"/>
    <s v="Emp_59"/>
    <x v="0"/>
    <x v="1"/>
    <x v="1"/>
    <x v="1"/>
    <n v="30"/>
    <n v="76572"/>
    <n v="18795"/>
    <x v="0"/>
    <n v="95367"/>
  </r>
  <r>
    <n v="1060"/>
    <s v="Emp_60"/>
    <x v="0"/>
    <x v="0"/>
    <x v="1"/>
    <x v="0"/>
    <n v="44"/>
    <n v="81416"/>
    <n v="22139"/>
    <x v="0"/>
    <n v="103555"/>
  </r>
  <r>
    <n v="1061"/>
    <s v="Emp_61"/>
    <x v="0"/>
    <x v="1"/>
    <x v="0"/>
    <x v="1"/>
    <n v="36"/>
    <n v="32041"/>
    <n v="14638"/>
    <x v="0"/>
    <n v="46679"/>
  </r>
  <r>
    <n v="1062"/>
    <s v="Emp_62"/>
    <x v="1"/>
    <x v="1"/>
    <x v="0"/>
    <x v="3"/>
    <n v="34"/>
    <n v="43227"/>
    <n v="9931"/>
    <x v="0"/>
    <n v="53158"/>
  </r>
  <r>
    <n v="1063"/>
    <s v="Emp_63"/>
    <x v="2"/>
    <x v="1"/>
    <x v="0"/>
    <x v="2"/>
    <n v="44"/>
    <n v="55201"/>
    <n v="14855"/>
    <x v="0"/>
    <n v="70056"/>
  </r>
  <r>
    <n v="1064"/>
    <s v="Emp_64"/>
    <x v="4"/>
    <x v="1"/>
    <x v="3"/>
    <x v="3"/>
    <n v="38"/>
    <n v="56069"/>
    <n v="10724"/>
    <x v="0"/>
    <n v="66793"/>
  </r>
  <r>
    <n v="1065"/>
    <s v="Emp_65"/>
    <x v="5"/>
    <x v="0"/>
    <x v="1"/>
    <x v="0"/>
    <n v="23"/>
    <n v="102190"/>
    <n v="17420"/>
    <x v="0"/>
    <n v="119610"/>
  </r>
  <r>
    <n v="1066"/>
    <s v="Emp_66"/>
    <x v="0"/>
    <x v="1"/>
    <x v="4"/>
    <x v="2"/>
    <n v="41"/>
    <n v="46370"/>
    <n v="25534"/>
    <x v="0"/>
    <n v="71904"/>
  </r>
  <r>
    <n v="1067"/>
    <s v="Emp_67"/>
    <x v="3"/>
    <x v="1"/>
    <x v="2"/>
    <x v="1"/>
    <n v="41"/>
    <n v="115018"/>
    <n v="9060"/>
    <x v="0"/>
    <n v="124078"/>
  </r>
  <r>
    <n v="1068"/>
    <s v="Emp_68"/>
    <x v="0"/>
    <x v="1"/>
    <x v="3"/>
    <x v="1"/>
    <n v="24"/>
    <n v="31586"/>
    <n v="9765"/>
    <x v="0"/>
    <n v="41351"/>
  </r>
  <r>
    <n v="1069"/>
    <s v="Emp_69"/>
    <x v="3"/>
    <x v="0"/>
    <x v="4"/>
    <x v="1"/>
    <n v="33"/>
    <n v="70231"/>
    <n v="24996"/>
    <x v="0"/>
    <n v="95227"/>
  </r>
  <r>
    <n v="1070"/>
    <s v="Emp_70"/>
    <x v="4"/>
    <x v="1"/>
    <x v="1"/>
    <x v="2"/>
    <n v="23"/>
    <n v="25322"/>
    <n v="11553"/>
    <x v="0"/>
    <n v="36875"/>
  </r>
  <r>
    <n v="1071"/>
    <s v="Emp_71"/>
    <x v="4"/>
    <x v="0"/>
    <x v="0"/>
    <x v="3"/>
    <n v="57"/>
    <n v="85294"/>
    <n v="12378"/>
    <x v="1"/>
    <n v="97672"/>
  </r>
  <r>
    <n v="1072"/>
    <s v="Emp_72"/>
    <x v="4"/>
    <x v="0"/>
    <x v="1"/>
    <x v="2"/>
    <n v="35"/>
    <n v="99468"/>
    <n v="23073"/>
    <x v="0"/>
    <n v="122541"/>
  </r>
  <r>
    <n v="1073"/>
    <s v="Emp_73"/>
    <x v="3"/>
    <x v="1"/>
    <x v="2"/>
    <x v="2"/>
    <n v="37"/>
    <n v="49299"/>
    <n v="22700"/>
    <x v="2"/>
    <n v="71999"/>
  </r>
  <r>
    <n v="1074"/>
    <s v="Emp_74"/>
    <x v="0"/>
    <x v="1"/>
    <x v="3"/>
    <x v="0"/>
    <n v="40"/>
    <n v="110715"/>
    <n v="12130"/>
    <x v="1"/>
    <n v="122845"/>
  </r>
  <r>
    <n v="1075"/>
    <s v="Emp_75"/>
    <x v="4"/>
    <x v="0"/>
    <x v="3"/>
    <x v="2"/>
    <n v="55"/>
    <n v="90793"/>
    <n v="8186"/>
    <x v="0"/>
    <n v="98979"/>
  </r>
  <r>
    <n v="1076"/>
    <s v="Emp_76"/>
    <x v="1"/>
    <x v="1"/>
    <x v="2"/>
    <x v="1"/>
    <n v="27"/>
    <n v="66501"/>
    <n v="10789"/>
    <x v="0"/>
    <n v="77290"/>
  </r>
  <r>
    <n v="1077"/>
    <s v="Emp_77"/>
    <x v="3"/>
    <x v="0"/>
    <x v="4"/>
    <x v="3"/>
    <n v="34"/>
    <n v="77134"/>
    <n v="21122"/>
    <x v="0"/>
    <n v="98256"/>
  </r>
  <r>
    <n v="1078"/>
    <s v="Emp_78"/>
    <x v="3"/>
    <x v="0"/>
    <x v="4"/>
    <x v="3"/>
    <n v="57"/>
    <n v="29777"/>
    <n v="22529"/>
    <x v="0"/>
    <n v="52306"/>
  </r>
  <r>
    <n v="1079"/>
    <s v="Emp_79"/>
    <x v="0"/>
    <x v="1"/>
    <x v="3"/>
    <x v="3"/>
    <n v="43"/>
    <n v="31249"/>
    <n v="25778"/>
    <x v="0"/>
    <n v="57027"/>
  </r>
  <r>
    <n v="1080"/>
    <s v="Emp_80"/>
    <x v="3"/>
    <x v="1"/>
    <x v="3"/>
    <x v="1"/>
    <n v="39"/>
    <n v="41390"/>
    <n v="12942"/>
    <x v="1"/>
    <n v="54332"/>
  </r>
  <r>
    <n v="1081"/>
    <s v="Emp_81"/>
    <x v="3"/>
    <x v="0"/>
    <x v="0"/>
    <x v="1"/>
    <n v="33"/>
    <n v="40369"/>
    <n v="12548"/>
    <x v="0"/>
    <n v="52917"/>
  </r>
  <r>
    <n v="1082"/>
    <s v="Emp_82"/>
    <x v="4"/>
    <x v="0"/>
    <x v="4"/>
    <x v="1"/>
    <n v="51"/>
    <n v="32881"/>
    <n v="21944"/>
    <x v="0"/>
    <n v="54825"/>
  </r>
  <r>
    <n v="1083"/>
    <s v="Emp_83"/>
    <x v="0"/>
    <x v="0"/>
    <x v="2"/>
    <x v="1"/>
    <n v="28"/>
    <n v="29587"/>
    <n v="23296"/>
    <x v="1"/>
    <n v="52883"/>
  </r>
  <r>
    <n v="1084"/>
    <s v="Emp_84"/>
    <x v="4"/>
    <x v="0"/>
    <x v="4"/>
    <x v="1"/>
    <n v="53"/>
    <n v="113800"/>
    <n v="23248"/>
    <x v="0"/>
    <n v="137048"/>
  </r>
  <r>
    <n v="1085"/>
    <s v="Emp_85"/>
    <x v="4"/>
    <x v="1"/>
    <x v="0"/>
    <x v="2"/>
    <n v="40"/>
    <n v="94327"/>
    <n v="5296"/>
    <x v="0"/>
    <n v="99623"/>
  </r>
  <r>
    <n v="1086"/>
    <s v="Emp_86"/>
    <x v="0"/>
    <x v="1"/>
    <x v="3"/>
    <x v="1"/>
    <n v="27"/>
    <n v="107911"/>
    <n v="7409"/>
    <x v="0"/>
    <n v="115320"/>
  </r>
  <r>
    <n v="1087"/>
    <s v="Emp_87"/>
    <x v="5"/>
    <x v="1"/>
    <x v="3"/>
    <x v="1"/>
    <n v="41"/>
    <n v="108147"/>
    <n v="29014"/>
    <x v="0"/>
    <n v="137161"/>
  </r>
  <r>
    <n v="1088"/>
    <s v="Emp_88"/>
    <x v="4"/>
    <x v="1"/>
    <x v="0"/>
    <x v="1"/>
    <n v="48"/>
    <n v="27833"/>
    <n v="6461"/>
    <x v="0"/>
    <n v="34294"/>
  </r>
  <r>
    <n v="1089"/>
    <s v="Emp_89"/>
    <x v="1"/>
    <x v="1"/>
    <x v="2"/>
    <x v="1"/>
    <n v="58"/>
    <n v="67013"/>
    <n v="25676"/>
    <x v="0"/>
    <n v="92689"/>
  </r>
  <r>
    <n v="1090"/>
    <s v="Emp_90"/>
    <x v="1"/>
    <x v="0"/>
    <x v="3"/>
    <x v="3"/>
    <n v="28"/>
    <n v="83620"/>
    <n v="7268"/>
    <x v="0"/>
    <n v="90888"/>
  </r>
  <r>
    <n v="1091"/>
    <s v="Emp_91"/>
    <x v="3"/>
    <x v="1"/>
    <x v="1"/>
    <x v="1"/>
    <n v="26"/>
    <n v="35754"/>
    <n v="22378"/>
    <x v="0"/>
    <n v="58132"/>
  </r>
  <r>
    <n v="1092"/>
    <s v="Emp_92"/>
    <x v="1"/>
    <x v="1"/>
    <x v="3"/>
    <x v="2"/>
    <n v="32"/>
    <n v="98113"/>
    <n v="11554"/>
    <x v="0"/>
    <n v="109667"/>
  </r>
  <r>
    <n v="1093"/>
    <s v="Emp_93"/>
    <x v="3"/>
    <x v="1"/>
    <x v="1"/>
    <x v="2"/>
    <n v="36"/>
    <n v="116631"/>
    <n v="21391"/>
    <x v="0"/>
    <n v="138022"/>
  </r>
  <r>
    <n v="1094"/>
    <s v="Emp_94"/>
    <x v="5"/>
    <x v="1"/>
    <x v="0"/>
    <x v="2"/>
    <n v="24"/>
    <n v="106784"/>
    <n v="23899"/>
    <x v="0"/>
    <n v="130683"/>
  </r>
  <r>
    <n v="1095"/>
    <s v="Emp_95"/>
    <x v="0"/>
    <x v="1"/>
    <x v="0"/>
    <x v="0"/>
    <n v="26"/>
    <n v="55282"/>
    <n v="22801"/>
    <x v="0"/>
    <n v="78083"/>
  </r>
  <r>
    <n v="1096"/>
    <s v="Emp_96"/>
    <x v="0"/>
    <x v="0"/>
    <x v="3"/>
    <x v="3"/>
    <n v="44"/>
    <n v="56737"/>
    <n v="23700"/>
    <x v="0"/>
    <n v="80437"/>
  </r>
  <r>
    <n v="1097"/>
    <s v="Emp_97"/>
    <x v="0"/>
    <x v="0"/>
    <x v="4"/>
    <x v="1"/>
    <n v="58"/>
    <n v="117427"/>
    <n v="12358"/>
    <x v="0"/>
    <n v="129785"/>
  </r>
  <r>
    <n v="1098"/>
    <s v="Emp_98"/>
    <x v="1"/>
    <x v="0"/>
    <x v="1"/>
    <x v="0"/>
    <n v="30"/>
    <n v="44124"/>
    <n v="25316"/>
    <x v="0"/>
    <n v="69440"/>
  </r>
  <r>
    <n v="1099"/>
    <s v="Emp_99"/>
    <x v="5"/>
    <x v="1"/>
    <x v="2"/>
    <x v="1"/>
    <n v="36"/>
    <n v="90102"/>
    <n v="27588"/>
    <x v="0"/>
    <n v="117690"/>
  </r>
  <r>
    <n v="1100"/>
    <s v="Emp_100"/>
    <x v="1"/>
    <x v="0"/>
    <x v="3"/>
    <x v="0"/>
    <n v="24"/>
    <n v="22196"/>
    <n v="22671"/>
    <x v="0"/>
    <n v="44867"/>
  </r>
  <r>
    <n v="1101"/>
    <s v="Emp_101"/>
    <x v="1"/>
    <x v="0"/>
    <x v="2"/>
    <x v="0"/>
    <n v="50"/>
    <n v="81527"/>
    <n v="22502"/>
    <x v="0"/>
    <n v="104029"/>
  </r>
  <r>
    <n v="1102"/>
    <s v="Emp_102"/>
    <x v="5"/>
    <x v="1"/>
    <x v="3"/>
    <x v="2"/>
    <n v="27"/>
    <n v="116651"/>
    <n v="12637"/>
    <x v="0"/>
    <n v="129288"/>
  </r>
  <r>
    <n v="1103"/>
    <s v="Emp_103"/>
    <x v="5"/>
    <x v="1"/>
    <x v="4"/>
    <x v="2"/>
    <n v="38"/>
    <n v="105395"/>
    <n v="5660"/>
    <x v="0"/>
    <n v="111055"/>
  </r>
  <r>
    <n v="1104"/>
    <s v="Emp_104"/>
    <x v="5"/>
    <x v="1"/>
    <x v="4"/>
    <x v="0"/>
    <n v="47"/>
    <n v="31345"/>
    <n v="13907"/>
    <x v="1"/>
    <n v="45252"/>
  </r>
  <r>
    <n v="1105"/>
    <s v="Emp_105"/>
    <x v="5"/>
    <x v="0"/>
    <x v="4"/>
    <x v="2"/>
    <n v="42"/>
    <n v="69548"/>
    <n v="11922"/>
    <x v="0"/>
    <n v="81470"/>
  </r>
  <r>
    <n v="1106"/>
    <s v="Emp_106"/>
    <x v="0"/>
    <x v="0"/>
    <x v="4"/>
    <x v="0"/>
    <n v="29"/>
    <n v="86400"/>
    <n v="16953"/>
    <x v="1"/>
    <n v="103353"/>
  </r>
  <r>
    <n v="1107"/>
    <s v="Emp_107"/>
    <x v="2"/>
    <x v="1"/>
    <x v="0"/>
    <x v="3"/>
    <n v="42"/>
    <n v="32055"/>
    <n v="29488"/>
    <x v="1"/>
    <n v="61543"/>
  </r>
  <r>
    <n v="1108"/>
    <s v="Emp_108"/>
    <x v="2"/>
    <x v="1"/>
    <x v="0"/>
    <x v="2"/>
    <n v="32"/>
    <n v="105283"/>
    <n v="27721"/>
    <x v="0"/>
    <n v="133004"/>
  </r>
  <r>
    <n v="1109"/>
    <s v="Emp_109"/>
    <x v="5"/>
    <x v="0"/>
    <x v="1"/>
    <x v="2"/>
    <n v="59"/>
    <n v="64484"/>
    <n v="23913"/>
    <x v="0"/>
    <n v="88397"/>
  </r>
  <r>
    <n v="1110"/>
    <s v="Emp_110"/>
    <x v="2"/>
    <x v="0"/>
    <x v="2"/>
    <x v="2"/>
    <n v="29"/>
    <n v="97514"/>
    <n v="8970"/>
    <x v="1"/>
    <n v="106484"/>
  </r>
  <r>
    <n v="1111"/>
    <s v="Emp_111"/>
    <x v="2"/>
    <x v="1"/>
    <x v="3"/>
    <x v="3"/>
    <n v="45"/>
    <n v="110135"/>
    <n v="8407"/>
    <x v="1"/>
    <n v="118542"/>
  </r>
  <r>
    <n v="1112"/>
    <s v="Emp_112"/>
    <x v="5"/>
    <x v="1"/>
    <x v="3"/>
    <x v="0"/>
    <n v="56"/>
    <n v="55771"/>
    <n v="14046"/>
    <x v="0"/>
    <n v="69817"/>
  </r>
  <r>
    <n v="1113"/>
    <s v="Emp_113"/>
    <x v="2"/>
    <x v="0"/>
    <x v="0"/>
    <x v="1"/>
    <n v="35"/>
    <n v="77654"/>
    <n v="28800"/>
    <x v="0"/>
    <n v="106454"/>
  </r>
  <r>
    <n v="1114"/>
    <s v="Emp_114"/>
    <x v="1"/>
    <x v="1"/>
    <x v="3"/>
    <x v="2"/>
    <n v="35"/>
    <n v="66540"/>
    <n v="19547"/>
    <x v="0"/>
    <n v="86087"/>
  </r>
  <r>
    <n v="1115"/>
    <s v="Emp_115"/>
    <x v="3"/>
    <x v="0"/>
    <x v="0"/>
    <x v="0"/>
    <n v="31"/>
    <n v="103151"/>
    <n v="9760"/>
    <x v="0"/>
    <n v="112911"/>
  </r>
  <r>
    <n v="1116"/>
    <s v="Emp_116"/>
    <x v="3"/>
    <x v="0"/>
    <x v="1"/>
    <x v="3"/>
    <n v="33"/>
    <n v="49377"/>
    <n v="23281"/>
    <x v="0"/>
    <n v="72658"/>
  </r>
  <r>
    <n v="1117"/>
    <s v="Emp_117"/>
    <x v="5"/>
    <x v="0"/>
    <x v="2"/>
    <x v="1"/>
    <n v="59"/>
    <n v="115567"/>
    <n v="27748"/>
    <x v="0"/>
    <n v="143315"/>
  </r>
  <r>
    <n v="1118"/>
    <s v="Emp_118"/>
    <x v="0"/>
    <x v="0"/>
    <x v="1"/>
    <x v="2"/>
    <n v="55"/>
    <n v="69573"/>
    <n v="29848"/>
    <x v="0"/>
    <n v="99421"/>
  </r>
  <r>
    <n v="1119"/>
    <s v="Emp_119"/>
    <x v="5"/>
    <x v="1"/>
    <x v="4"/>
    <x v="3"/>
    <n v="31"/>
    <n v="62733"/>
    <n v="18465"/>
    <x v="1"/>
    <n v="81198"/>
  </r>
  <r>
    <n v="1120"/>
    <s v="Emp_120"/>
    <x v="0"/>
    <x v="1"/>
    <x v="4"/>
    <x v="3"/>
    <n v="38"/>
    <n v="31760"/>
    <n v="9087"/>
    <x v="0"/>
    <n v="40847"/>
  </r>
  <r>
    <n v="1121"/>
    <s v="Emp_121"/>
    <x v="3"/>
    <x v="0"/>
    <x v="4"/>
    <x v="1"/>
    <n v="38"/>
    <n v="119250"/>
    <n v="25758"/>
    <x v="0"/>
    <n v="145008"/>
  </r>
  <r>
    <n v="1122"/>
    <s v="Emp_122"/>
    <x v="5"/>
    <x v="0"/>
    <x v="1"/>
    <x v="0"/>
    <n v="24"/>
    <n v="45762"/>
    <n v="12607"/>
    <x v="0"/>
    <n v="58369"/>
  </r>
  <r>
    <n v="1123"/>
    <s v="Emp_123"/>
    <x v="4"/>
    <x v="0"/>
    <x v="3"/>
    <x v="2"/>
    <n v="52"/>
    <n v="70986"/>
    <n v="9019"/>
    <x v="0"/>
    <n v="80005"/>
  </r>
  <r>
    <n v="1124"/>
    <s v="Emp_124"/>
    <x v="1"/>
    <x v="0"/>
    <x v="2"/>
    <x v="2"/>
    <n v="22"/>
    <n v="54332"/>
    <n v="5815"/>
    <x v="0"/>
    <n v="60147"/>
  </r>
  <r>
    <n v="1125"/>
    <s v="Emp_125"/>
    <x v="2"/>
    <x v="0"/>
    <x v="4"/>
    <x v="0"/>
    <n v="33"/>
    <n v="60100"/>
    <n v="17563"/>
    <x v="1"/>
    <n v="77663"/>
  </r>
  <r>
    <n v="1126"/>
    <s v="Emp_126"/>
    <x v="0"/>
    <x v="1"/>
    <x v="4"/>
    <x v="0"/>
    <n v="25"/>
    <n v="24944"/>
    <n v="18292"/>
    <x v="1"/>
    <n v="43236"/>
  </r>
  <r>
    <n v="1127"/>
    <s v="Emp_127"/>
    <x v="4"/>
    <x v="1"/>
    <x v="4"/>
    <x v="0"/>
    <n v="34"/>
    <n v="68825"/>
    <n v="28639"/>
    <x v="1"/>
    <n v="97464"/>
  </r>
  <r>
    <n v="1128"/>
    <s v="Emp_128"/>
    <x v="2"/>
    <x v="1"/>
    <x v="2"/>
    <x v="1"/>
    <n v="55"/>
    <n v="33877"/>
    <n v="21158"/>
    <x v="0"/>
    <n v="55035"/>
  </r>
  <r>
    <n v="1129"/>
    <s v="Emp_129"/>
    <x v="2"/>
    <x v="1"/>
    <x v="4"/>
    <x v="1"/>
    <n v="42"/>
    <n v="49990"/>
    <n v="5922"/>
    <x v="0"/>
    <n v="55912"/>
  </r>
  <r>
    <n v="1130"/>
    <s v="Emp_130"/>
    <x v="5"/>
    <x v="0"/>
    <x v="2"/>
    <x v="2"/>
    <n v="43"/>
    <n v="119612"/>
    <n v="17929"/>
    <x v="0"/>
    <n v="137541"/>
  </r>
  <r>
    <n v="1131"/>
    <s v="Emp_131"/>
    <x v="2"/>
    <x v="0"/>
    <x v="4"/>
    <x v="1"/>
    <n v="25"/>
    <n v="75283"/>
    <n v="19925"/>
    <x v="1"/>
    <n v="95208"/>
  </r>
  <r>
    <n v="1132"/>
    <s v="Emp_132"/>
    <x v="1"/>
    <x v="0"/>
    <x v="1"/>
    <x v="3"/>
    <n v="39"/>
    <n v="23258"/>
    <n v="26251"/>
    <x v="0"/>
    <n v="49509"/>
  </r>
  <r>
    <n v="1133"/>
    <s v="Emp_133"/>
    <x v="4"/>
    <x v="0"/>
    <x v="1"/>
    <x v="2"/>
    <n v="26"/>
    <n v="51629"/>
    <n v="22648"/>
    <x v="0"/>
    <n v="74277"/>
  </r>
  <r>
    <n v="1134"/>
    <s v="Emp_134"/>
    <x v="2"/>
    <x v="0"/>
    <x v="2"/>
    <x v="1"/>
    <n v="40"/>
    <n v="57579"/>
    <n v="25108"/>
    <x v="0"/>
    <n v="82687"/>
  </r>
  <r>
    <n v="1135"/>
    <s v="Emp_135"/>
    <x v="5"/>
    <x v="1"/>
    <x v="1"/>
    <x v="0"/>
    <n v="23"/>
    <n v="42958"/>
    <n v="15979"/>
    <x v="2"/>
    <n v="58937"/>
  </r>
  <r>
    <n v="1136"/>
    <s v="Emp_136"/>
    <x v="1"/>
    <x v="0"/>
    <x v="2"/>
    <x v="3"/>
    <n v="33"/>
    <n v="59465"/>
    <n v="7722"/>
    <x v="1"/>
    <n v="67187"/>
  </r>
  <r>
    <n v="1137"/>
    <s v="Emp_137"/>
    <x v="3"/>
    <x v="1"/>
    <x v="1"/>
    <x v="0"/>
    <n v="38"/>
    <n v="105853"/>
    <n v="10355"/>
    <x v="0"/>
    <n v="116208"/>
  </r>
  <r>
    <n v="1138"/>
    <s v="Emp_138"/>
    <x v="4"/>
    <x v="1"/>
    <x v="1"/>
    <x v="2"/>
    <n v="31"/>
    <n v="35775"/>
    <n v="18301"/>
    <x v="0"/>
    <n v="54076"/>
  </r>
  <r>
    <n v="1139"/>
    <s v="Emp_139"/>
    <x v="2"/>
    <x v="1"/>
    <x v="2"/>
    <x v="0"/>
    <n v="55"/>
    <n v="96575"/>
    <n v="7550"/>
    <x v="1"/>
    <n v="104125"/>
  </r>
  <r>
    <n v="1140"/>
    <s v="Emp_140"/>
    <x v="5"/>
    <x v="1"/>
    <x v="3"/>
    <x v="1"/>
    <n v="27"/>
    <n v="114633"/>
    <n v="26703"/>
    <x v="2"/>
    <n v="141336"/>
  </r>
  <r>
    <n v="1141"/>
    <s v="Emp_141"/>
    <x v="3"/>
    <x v="0"/>
    <x v="1"/>
    <x v="1"/>
    <n v="29"/>
    <n v="54207"/>
    <n v="16141"/>
    <x v="0"/>
    <n v="70348"/>
  </r>
  <r>
    <n v="1142"/>
    <s v="Emp_142"/>
    <x v="3"/>
    <x v="1"/>
    <x v="4"/>
    <x v="2"/>
    <n v="32"/>
    <n v="42553"/>
    <n v="28070"/>
    <x v="0"/>
    <n v="70623"/>
  </r>
  <r>
    <n v="1143"/>
    <s v="Emp_143"/>
    <x v="0"/>
    <x v="1"/>
    <x v="3"/>
    <x v="0"/>
    <n v="33"/>
    <n v="73632"/>
    <n v="23057"/>
    <x v="0"/>
    <n v="96689"/>
  </r>
  <r>
    <n v="1144"/>
    <s v="Emp_144"/>
    <x v="1"/>
    <x v="1"/>
    <x v="2"/>
    <x v="2"/>
    <n v="30"/>
    <n v="20055"/>
    <n v="25971"/>
    <x v="1"/>
    <n v="46026"/>
  </r>
  <r>
    <n v="1145"/>
    <s v="Emp_145"/>
    <x v="2"/>
    <x v="0"/>
    <x v="3"/>
    <x v="0"/>
    <n v="23"/>
    <n v="108697"/>
    <n v="16284"/>
    <x v="0"/>
    <n v="124981"/>
  </r>
  <r>
    <n v="1146"/>
    <s v="Emp_146"/>
    <x v="5"/>
    <x v="0"/>
    <x v="0"/>
    <x v="3"/>
    <n v="29"/>
    <n v="52873"/>
    <n v="26737"/>
    <x v="0"/>
    <n v="79610"/>
  </r>
  <r>
    <n v="1147"/>
    <s v="Emp_147"/>
    <x v="0"/>
    <x v="0"/>
    <x v="0"/>
    <x v="1"/>
    <n v="32"/>
    <n v="100720"/>
    <n v="28241"/>
    <x v="1"/>
    <n v="128961"/>
  </r>
  <r>
    <n v="1148"/>
    <s v="Emp_148"/>
    <x v="1"/>
    <x v="1"/>
    <x v="1"/>
    <x v="2"/>
    <n v="57"/>
    <n v="86205"/>
    <n v="23050"/>
    <x v="0"/>
    <n v="109255"/>
  </r>
  <r>
    <n v="1149"/>
    <s v="Emp_149"/>
    <x v="0"/>
    <x v="1"/>
    <x v="1"/>
    <x v="3"/>
    <n v="31"/>
    <n v="98199"/>
    <n v="25895"/>
    <x v="1"/>
    <n v="124094"/>
  </r>
  <r>
    <n v="1150"/>
    <s v="Emp_150"/>
    <x v="4"/>
    <x v="0"/>
    <x v="4"/>
    <x v="3"/>
    <n v="42"/>
    <n v="45318"/>
    <n v="27556"/>
    <x v="0"/>
    <n v="72874"/>
  </r>
  <r>
    <n v="1151"/>
    <s v="Emp_151"/>
    <x v="1"/>
    <x v="1"/>
    <x v="3"/>
    <x v="2"/>
    <n v="41"/>
    <n v="53734"/>
    <n v="6384"/>
    <x v="1"/>
    <n v="60118"/>
  </r>
  <r>
    <n v="1152"/>
    <s v="Emp_152"/>
    <x v="1"/>
    <x v="0"/>
    <x v="0"/>
    <x v="2"/>
    <n v="29"/>
    <n v="102227"/>
    <n v="25787"/>
    <x v="1"/>
    <n v="128014"/>
  </r>
  <r>
    <n v="1153"/>
    <s v="Emp_153"/>
    <x v="2"/>
    <x v="0"/>
    <x v="1"/>
    <x v="3"/>
    <n v="57"/>
    <n v="38522"/>
    <n v="25338"/>
    <x v="0"/>
    <n v="63860"/>
  </r>
  <r>
    <n v="1154"/>
    <s v="Emp_154"/>
    <x v="1"/>
    <x v="1"/>
    <x v="3"/>
    <x v="0"/>
    <n v="50"/>
    <n v="31656"/>
    <n v="27689"/>
    <x v="1"/>
    <n v="59345"/>
  </r>
  <r>
    <n v="1155"/>
    <s v="Emp_155"/>
    <x v="0"/>
    <x v="1"/>
    <x v="1"/>
    <x v="3"/>
    <n v="33"/>
    <n v="35893"/>
    <n v="13252"/>
    <x v="0"/>
    <n v="49145"/>
  </r>
  <r>
    <n v="1156"/>
    <s v="Emp_156"/>
    <x v="1"/>
    <x v="1"/>
    <x v="1"/>
    <x v="2"/>
    <n v="35"/>
    <n v="36493"/>
    <n v="12238"/>
    <x v="1"/>
    <n v="48731"/>
  </r>
  <r>
    <n v="1157"/>
    <s v="Emp_157"/>
    <x v="2"/>
    <x v="1"/>
    <x v="0"/>
    <x v="3"/>
    <n v="42"/>
    <n v="23632"/>
    <n v="28365"/>
    <x v="0"/>
    <n v="51997"/>
  </r>
  <r>
    <n v="1158"/>
    <s v="Emp_158"/>
    <x v="2"/>
    <x v="0"/>
    <x v="0"/>
    <x v="0"/>
    <n v="43"/>
    <n v="115872"/>
    <n v="11026"/>
    <x v="1"/>
    <n v="126898"/>
  </r>
  <r>
    <n v="1159"/>
    <s v="Emp_159"/>
    <x v="4"/>
    <x v="0"/>
    <x v="1"/>
    <x v="1"/>
    <n v="42"/>
    <n v="108648"/>
    <n v="27993"/>
    <x v="1"/>
    <n v="136641"/>
  </r>
  <r>
    <n v="1160"/>
    <s v="Emp_160"/>
    <x v="0"/>
    <x v="0"/>
    <x v="2"/>
    <x v="1"/>
    <n v="51"/>
    <n v="81779"/>
    <n v="15482"/>
    <x v="0"/>
    <n v="97261"/>
  </r>
  <r>
    <n v="1161"/>
    <s v="Emp_161"/>
    <x v="3"/>
    <x v="0"/>
    <x v="1"/>
    <x v="3"/>
    <n v="41"/>
    <n v="58452"/>
    <n v="18801"/>
    <x v="0"/>
    <n v="77253"/>
  </r>
  <r>
    <n v="1162"/>
    <s v="Emp_162"/>
    <x v="3"/>
    <x v="0"/>
    <x v="1"/>
    <x v="0"/>
    <n v="45"/>
    <n v="33266"/>
    <n v="21120"/>
    <x v="0"/>
    <n v="54386"/>
  </r>
  <r>
    <n v="1163"/>
    <s v="Emp_163"/>
    <x v="1"/>
    <x v="1"/>
    <x v="4"/>
    <x v="1"/>
    <n v="44"/>
    <n v="81607"/>
    <n v="20580"/>
    <x v="0"/>
    <n v="102187"/>
  </r>
  <r>
    <n v="1164"/>
    <s v="Emp_164"/>
    <x v="4"/>
    <x v="0"/>
    <x v="4"/>
    <x v="3"/>
    <n v="28"/>
    <n v="36940"/>
    <n v="13664"/>
    <x v="1"/>
    <n v="50604"/>
  </r>
  <r>
    <n v="1165"/>
    <s v="Emp_165"/>
    <x v="5"/>
    <x v="0"/>
    <x v="4"/>
    <x v="3"/>
    <n v="30"/>
    <n v="44003"/>
    <n v="22342"/>
    <x v="0"/>
    <n v="66345"/>
  </r>
  <r>
    <n v="1166"/>
    <s v="Emp_166"/>
    <x v="1"/>
    <x v="0"/>
    <x v="2"/>
    <x v="0"/>
    <n v="22"/>
    <n v="118408"/>
    <n v="5493"/>
    <x v="1"/>
    <n v="123901"/>
  </r>
  <r>
    <n v="1167"/>
    <s v="Emp_167"/>
    <x v="4"/>
    <x v="1"/>
    <x v="2"/>
    <x v="2"/>
    <n v="47"/>
    <n v="54815"/>
    <n v="28426"/>
    <x v="0"/>
    <n v="83241"/>
  </r>
  <r>
    <n v="1168"/>
    <s v="Emp_168"/>
    <x v="0"/>
    <x v="1"/>
    <x v="1"/>
    <x v="3"/>
    <n v="59"/>
    <n v="50869"/>
    <n v="21465"/>
    <x v="0"/>
    <n v="72334"/>
  </r>
  <r>
    <n v="1169"/>
    <s v="Emp_169"/>
    <x v="0"/>
    <x v="1"/>
    <x v="4"/>
    <x v="2"/>
    <n v="59"/>
    <n v="69297"/>
    <n v="11999"/>
    <x v="0"/>
    <n v="81296"/>
  </r>
  <r>
    <n v="1170"/>
    <s v="Emp_170"/>
    <x v="0"/>
    <x v="1"/>
    <x v="2"/>
    <x v="2"/>
    <n v="43"/>
    <n v="80107"/>
    <n v="18833"/>
    <x v="0"/>
    <n v="98940"/>
  </r>
  <r>
    <n v="1171"/>
    <s v="Emp_171"/>
    <x v="0"/>
    <x v="0"/>
    <x v="0"/>
    <x v="1"/>
    <n v="31"/>
    <n v="102793"/>
    <n v="7970"/>
    <x v="1"/>
    <n v="110763"/>
  </r>
  <r>
    <n v="1172"/>
    <s v="Emp_172"/>
    <x v="0"/>
    <x v="0"/>
    <x v="1"/>
    <x v="2"/>
    <n v="27"/>
    <n v="36682"/>
    <n v="5011"/>
    <x v="0"/>
    <n v="41693"/>
  </r>
  <r>
    <n v="1173"/>
    <s v="Emp_173"/>
    <x v="4"/>
    <x v="1"/>
    <x v="3"/>
    <x v="0"/>
    <n v="38"/>
    <n v="39622"/>
    <n v="29208"/>
    <x v="0"/>
    <n v="68830"/>
  </r>
  <r>
    <n v="1174"/>
    <s v="Emp_174"/>
    <x v="4"/>
    <x v="1"/>
    <x v="1"/>
    <x v="1"/>
    <n v="59"/>
    <n v="50408"/>
    <n v="20551"/>
    <x v="0"/>
    <n v="70959"/>
  </r>
  <r>
    <n v="1175"/>
    <s v="Emp_175"/>
    <x v="2"/>
    <x v="0"/>
    <x v="3"/>
    <x v="1"/>
    <n v="45"/>
    <n v="28837"/>
    <n v="22145"/>
    <x v="1"/>
    <n v="50982"/>
  </r>
  <r>
    <n v="1176"/>
    <s v="Emp_176"/>
    <x v="3"/>
    <x v="0"/>
    <x v="4"/>
    <x v="1"/>
    <n v="31"/>
    <n v="84210"/>
    <n v="8185"/>
    <x v="0"/>
    <n v="92395"/>
  </r>
  <r>
    <n v="1177"/>
    <s v="Emp_177"/>
    <x v="0"/>
    <x v="1"/>
    <x v="3"/>
    <x v="3"/>
    <n v="29"/>
    <n v="35407"/>
    <n v="21409"/>
    <x v="0"/>
    <n v="56816"/>
  </r>
  <r>
    <n v="1178"/>
    <s v="Emp_178"/>
    <x v="5"/>
    <x v="1"/>
    <x v="4"/>
    <x v="3"/>
    <n v="42"/>
    <n v="49309"/>
    <n v="6806"/>
    <x v="0"/>
    <n v="56115"/>
  </r>
  <r>
    <n v="1179"/>
    <s v="Emp_179"/>
    <x v="4"/>
    <x v="1"/>
    <x v="0"/>
    <x v="2"/>
    <n v="27"/>
    <n v="91918"/>
    <n v="28035"/>
    <x v="0"/>
    <n v="119953"/>
  </r>
  <r>
    <n v="1180"/>
    <s v="Emp_180"/>
    <x v="5"/>
    <x v="1"/>
    <x v="3"/>
    <x v="1"/>
    <n v="42"/>
    <n v="113190"/>
    <n v="10664"/>
    <x v="0"/>
    <n v="123854"/>
  </r>
  <r>
    <n v="1181"/>
    <s v="Emp_181"/>
    <x v="5"/>
    <x v="0"/>
    <x v="1"/>
    <x v="1"/>
    <n v="45"/>
    <n v="38895"/>
    <n v="19126"/>
    <x v="2"/>
    <n v="58021"/>
  </r>
  <r>
    <n v="1182"/>
    <s v="Emp_182"/>
    <x v="5"/>
    <x v="0"/>
    <x v="4"/>
    <x v="0"/>
    <n v="54"/>
    <n v="119087"/>
    <n v="17894"/>
    <x v="0"/>
    <n v="136981"/>
  </r>
  <r>
    <n v="1183"/>
    <s v="Emp_183"/>
    <x v="2"/>
    <x v="0"/>
    <x v="1"/>
    <x v="2"/>
    <n v="39"/>
    <n v="106912"/>
    <n v="10154"/>
    <x v="0"/>
    <n v="117066"/>
  </r>
  <r>
    <n v="1184"/>
    <s v="Emp_184"/>
    <x v="4"/>
    <x v="1"/>
    <x v="2"/>
    <x v="0"/>
    <n v="49"/>
    <n v="20370"/>
    <n v="27208"/>
    <x v="1"/>
    <n v="47578"/>
  </r>
  <r>
    <n v="1185"/>
    <s v="Emp_185"/>
    <x v="5"/>
    <x v="1"/>
    <x v="4"/>
    <x v="2"/>
    <n v="53"/>
    <n v="20486"/>
    <n v="18767"/>
    <x v="1"/>
    <n v="39253"/>
  </r>
  <r>
    <n v="1186"/>
    <s v="Emp_186"/>
    <x v="0"/>
    <x v="0"/>
    <x v="3"/>
    <x v="2"/>
    <n v="33"/>
    <n v="43762"/>
    <n v="25043"/>
    <x v="0"/>
    <n v="68805"/>
  </r>
  <r>
    <n v="1187"/>
    <s v="Emp_187"/>
    <x v="1"/>
    <x v="0"/>
    <x v="4"/>
    <x v="3"/>
    <n v="48"/>
    <n v="46613"/>
    <n v="20226"/>
    <x v="0"/>
    <n v="66839"/>
  </r>
  <r>
    <n v="1188"/>
    <s v="Emp_188"/>
    <x v="5"/>
    <x v="0"/>
    <x v="1"/>
    <x v="3"/>
    <n v="31"/>
    <n v="23196"/>
    <n v="6525"/>
    <x v="0"/>
    <n v="29721"/>
  </r>
  <r>
    <n v="1189"/>
    <s v="Emp_189"/>
    <x v="2"/>
    <x v="0"/>
    <x v="0"/>
    <x v="0"/>
    <n v="53"/>
    <n v="114937"/>
    <n v="5760"/>
    <x v="1"/>
    <n v="120697"/>
  </r>
  <r>
    <n v="1190"/>
    <s v="Emp_190"/>
    <x v="4"/>
    <x v="1"/>
    <x v="4"/>
    <x v="2"/>
    <n v="47"/>
    <n v="96349"/>
    <n v="21978"/>
    <x v="2"/>
    <n v="118327"/>
  </r>
  <r>
    <n v="1191"/>
    <s v="Emp_191"/>
    <x v="2"/>
    <x v="0"/>
    <x v="3"/>
    <x v="1"/>
    <n v="46"/>
    <n v="84839"/>
    <n v="28576"/>
    <x v="1"/>
    <n v="113415"/>
  </r>
  <r>
    <n v="1192"/>
    <s v="Emp_192"/>
    <x v="5"/>
    <x v="0"/>
    <x v="2"/>
    <x v="3"/>
    <n v="32"/>
    <n v="61916"/>
    <n v="18880"/>
    <x v="0"/>
    <n v="80796"/>
  </r>
  <r>
    <n v="1193"/>
    <s v="Emp_193"/>
    <x v="4"/>
    <x v="0"/>
    <x v="0"/>
    <x v="1"/>
    <n v="44"/>
    <n v="28572"/>
    <n v="6055"/>
    <x v="0"/>
    <n v="34627"/>
  </r>
  <r>
    <n v="1194"/>
    <s v="Emp_194"/>
    <x v="1"/>
    <x v="0"/>
    <x v="2"/>
    <x v="0"/>
    <n v="55"/>
    <n v="48225"/>
    <n v="15046"/>
    <x v="1"/>
    <n v="63271"/>
  </r>
  <r>
    <n v="1195"/>
    <s v="Emp_195"/>
    <x v="5"/>
    <x v="0"/>
    <x v="4"/>
    <x v="3"/>
    <n v="44"/>
    <n v="65853"/>
    <n v="8083"/>
    <x v="1"/>
    <n v="73936"/>
  </r>
  <r>
    <n v="1196"/>
    <s v="Emp_196"/>
    <x v="2"/>
    <x v="0"/>
    <x v="1"/>
    <x v="3"/>
    <n v="50"/>
    <n v="69390"/>
    <n v="20678"/>
    <x v="0"/>
    <n v="90068"/>
  </r>
  <r>
    <n v="1197"/>
    <s v="Emp_197"/>
    <x v="3"/>
    <x v="0"/>
    <x v="1"/>
    <x v="2"/>
    <n v="52"/>
    <n v="52275"/>
    <n v="17108"/>
    <x v="2"/>
    <n v="69383"/>
  </r>
  <r>
    <n v="1198"/>
    <s v="Emp_198"/>
    <x v="0"/>
    <x v="1"/>
    <x v="3"/>
    <x v="0"/>
    <n v="28"/>
    <n v="92379"/>
    <n v="25059"/>
    <x v="0"/>
    <n v="117438"/>
  </r>
  <r>
    <n v="1199"/>
    <s v="Emp_199"/>
    <x v="2"/>
    <x v="1"/>
    <x v="1"/>
    <x v="2"/>
    <n v="54"/>
    <n v="21105"/>
    <n v="14650"/>
    <x v="0"/>
    <n v="35755"/>
  </r>
  <r>
    <n v="1200"/>
    <s v="Emp_200"/>
    <x v="4"/>
    <x v="1"/>
    <x v="0"/>
    <x v="3"/>
    <n v="42"/>
    <n v="79896"/>
    <n v="10957"/>
    <x v="0"/>
    <n v="90853"/>
  </r>
  <r>
    <n v="1201"/>
    <s v="Emp_201"/>
    <x v="5"/>
    <x v="2"/>
    <x v="1"/>
    <x v="0"/>
    <n v="23"/>
    <n v="63209"/>
    <n v="10255"/>
    <x v="1"/>
    <n v="73464"/>
  </r>
  <r>
    <n v="1202"/>
    <s v="Emp_202"/>
    <x v="0"/>
    <x v="0"/>
    <x v="3"/>
    <x v="3"/>
    <n v="39"/>
    <n v="117175"/>
    <n v="14411"/>
    <x v="0"/>
    <n v="131586"/>
  </r>
  <r>
    <n v="1203"/>
    <s v="Emp_203"/>
    <x v="5"/>
    <x v="1"/>
    <x v="4"/>
    <x v="0"/>
    <n v="54"/>
    <n v="62487"/>
    <n v="25612"/>
    <x v="0"/>
    <n v="88099"/>
  </r>
  <r>
    <n v="1204"/>
    <s v="Emp_204"/>
    <x v="4"/>
    <x v="1"/>
    <x v="4"/>
    <x v="3"/>
    <n v="58"/>
    <n v="38051"/>
    <n v="21344"/>
    <x v="0"/>
    <n v="59395"/>
  </r>
  <r>
    <n v="1205"/>
    <s v="Emp_205"/>
    <x v="5"/>
    <x v="0"/>
    <x v="1"/>
    <x v="1"/>
    <n v="55"/>
    <n v="114244"/>
    <n v="25565"/>
    <x v="0"/>
    <n v="139809"/>
  </r>
  <r>
    <n v="1206"/>
    <s v="Emp_206"/>
    <x v="3"/>
    <x v="0"/>
    <x v="2"/>
    <x v="1"/>
    <n v="41"/>
    <n v="97400"/>
    <n v="14691"/>
    <x v="1"/>
    <n v="112091"/>
  </r>
  <r>
    <n v="1207"/>
    <s v="Emp_207"/>
    <x v="0"/>
    <x v="1"/>
    <x v="4"/>
    <x v="2"/>
    <n v="56"/>
    <n v="86961"/>
    <n v="23214"/>
    <x v="0"/>
    <n v="110175"/>
  </r>
  <r>
    <n v="1208"/>
    <s v="Emp_208"/>
    <x v="0"/>
    <x v="1"/>
    <x v="1"/>
    <x v="1"/>
    <n v="39"/>
    <n v="80156"/>
    <n v="8395"/>
    <x v="0"/>
    <n v="88551"/>
  </r>
  <r>
    <n v="1209"/>
    <s v="Emp_209"/>
    <x v="2"/>
    <x v="0"/>
    <x v="3"/>
    <x v="3"/>
    <n v="45"/>
    <n v="77175"/>
    <n v="6203"/>
    <x v="0"/>
    <n v="83378"/>
  </r>
  <r>
    <n v="1210"/>
    <s v="Emp_210"/>
    <x v="3"/>
    <x v="1"/>
    <x v="1"/>
    <x v="3"/>
    <n v="29"/>
    <n v="26849"/>
    <n v="24194"/>
    <x v="0"/>
    <n v="51043"/>
  </r>
  <r>
    <n v="1211"/>
    <s v="Emp_211"/>
    <x v="2"/>
    <x v="0"/>
    <x v="4"/>
    <x v="1"/>
    <n v="51"/>
    <n v="38976"/>
    <n v="24476"/>
    <x v="0"/>
    <n v="63452"/>
  </r>
  <r>
    <n v="1212"/>
    <s v="Emp_212"/>
    <x v="5"/>
    <x v="0"/>
    <x v="3"/>
    <x v="2"/>
    <n v="31"/>
    <n v="119794"/>
    <n v="8044"/>
    <x v="0"/>
    <n v="127838"/>
  </r>
  <r>
    <n v="1213"/>
    <s v="Emp_213"/>
    <x v="1"/>
    <x v="0"/>
    <x v="1"/>
    <x v="1"/>
    <n v="44"/>
    <n v="76866"/>
    <n v="27455"/>
    <x v="0"/>
    <n v="104321"/>
  </r>
  <r>
    <n v="1214"/>
    <s v="Emp_214"/>
    <x v="6"/>
    <x v="0"/>
    <x v="0"/>
    <x v="0"/>
    <n v="32"/>
    <n v="67078"/>
    <n v="12272"/>
    <x v="0"/>
    <n v="79350"/>
  </r>
  <r>
    <n v="1215"/>
    <s v="Emp_215"/>
    <x v="5"/>
    <x v="1"/>
    <x v="3"/>
    <x v="0"/>
    <n v="23"/>
    <n v="51113"/>
    <n v="26057"/>
    <x v="0"/>
    <n v="77170"/>
  </r>
  <r>
    <n v="1216"/>
    <s v="Emp_216"/>
    <x v="2"/>
    <x v="0"/>
    <x v="0"/>
    <x v="0"/>
    <n v="47"/>
    <n v="35401"/>
    <n v="8514"/>
    <x v="0"/>
    <n v="43915"/>
  </r>
  <r>
    <n v="1217"/>
    <s v="Emp_217"/>
    <x v="5"/>
    <x v="0"/>
    <x v="2"/>
    <x v="1"/>
    <n v="57"/>
    <n v="32884"/>
    <n v="14990"/>
    <x v="0"/>
    <n v="47874"/>
  </r>
  <r>
    <n v="1218"/>
    <s v="Emp_218"/>
    <x v="3"/>
    <x v="1"/>
    <x v="3"/>
    <x v="1"/>
    <n v="54"/>
    <n v="69554.53"/>
    <n v="11192"/>
    <x v="1"/>
    <n v="80746.53"/>
  </r>
  <r>
    <n v="1219"/>
    <s v="Emp_219"/>
    <x v="3"/>
    <x v="0"/>
    <x v="0"/>
    <x v="1"/>
    <n v="34"/>
    <n v="57563"/>
    <n v="15767"/>
    <x v="1"/>
    <n v="73330"/>
  </r>
  <r>
    <n v="1220"/>
    <s v="Emp_220"/>
    <x v="0"/>
    <x v="1"/>
    <x v="4"/>
    <x v="0"/>
    <n v="46"/>
    <n v="54414"/>
    <n v="21528"/>
    <x v="0"/>
    <n v="75942"/>
  </r>
  <r>
    <n v="1221"/>
    <s v="Emp_221"/>
    <x v="4"/>
    <x v="1"/>
    <x v="4"/>
    <x v="2"/>
    <n v="25"/>
    <n v="36142"/>
    <n v="12507"/>
    <x v="0"/>
    <n v="48649"/>
  </r>
  <r>
    <n v="1222"/>
    <s v="Emp_222"/>
    <x v="1"/>
    <x v="2"/>
    <x v="2"/>
    <x v="3"/>
    <n v="40"/>
    <n v="91492"/>
    <n v="9857"/>
    <x v="0"/>
    <n v="101349"/>
  </r>
  <r>
    <n v="1223"/>
    <s v="Emp_223"/>
    <x v="5"/>
    <x v="0"/>
    <x v="3"/>
    <x v="1"/>
    <n v="39"/>
    <n v="99464"/>
    <n v="17118"/>
    <x v="0"/>
    <n v="116582"/>
  </r>
  <r>
    <n v="1224"/>
    <s v="Emp_224"/>
    <x v="5"/>
    <x v="1"/>
    <x v="3"/>
    <x v="2"/>
    <n v="58"/>
    <n v="95257"/>
    <n v="22761"/>
    <x v="1"/>
    <n v="118018"/>
  </r>
  <r>
    <n v="1225"/>
    <s v="Emp_225"/>
    <x v="2"/>
    <x v="1"/>
    <x v="3"/>
    <x v="3"/>
    <n v="51"/>
    <n v="96693"/>
    <n v="8146"/>
    <x v="0"/>
    <n v="104839"/>
  </r>
  <r>
    <n v="1226"/>
    <s v="Emp_226"/>
    <x v="4"/>
    <x v="0"/>
    <x v="2"/>
    <x v="3"/>
    <n v="40"/>
    <n v="55135"/>
    <n v="26408"/>
    <x v="0"/>
    <n v="81543"/>
  </r>
  <r>
    <n v="1227"/>
    <s v="Emp_227"/>
    <x v="3"/>
    <x v="1"/>
    <x v="3"/>
    <x v="3"/>
    <n v="44"/>
    <n v="92232"/>
    <n v="22177"/>
    <x v="0"/>
    <n v="114409"/>
  </r>
  <r>
    <n v="1228"/>
    <s v="Emp_228"/>
    <x v="1"/>
    <x v="1"/>
    <x v="4"/>
    <x v="2"/>
    <n v="37"/>
    <n v="47862"/>
    <n v="10756"/>
    <x v="1"/>
    <n v="58618"/>
  </r>
  <r>
    <n v="1229"/>
    <s v="Emp_229"/>
    <x v="0"/>
    <x v="1"/>
    <x v="0"/>
    <x v="2"/>
    <n v="22"/>
    <n v="25190"/>
    <n v="9414"/>
    <x v="1"/>
    <n v="34604"/>
  </r>
  <r>
    <n v="1230"/>
    <s v="Emp_230"/>
    <x v="3"/>
    <x v="1"/>
    <x v="4"/>
    <x v="0"/>
    <n v="33"/>
    <n v="90199"/>
    <n v="22494"/>
    <x v="0"/>
    <n v="112693"/>
  </r>
  <r>
    <n v="1231"/>
    <s v="Emp_231"/>
    <x v="4"/>
    <x v="1"/>
    <x v="4"/>
    <x v="2"/>
    <n v="45"/>
    <n v="24331"/>
    <n v="27056"/>
    <x v="1"/>
    <n v="51387"/>
  </r>
  <r>
    <n v="1232"/>
    <s v="Emp_232"/>
    <x v="0"/>
    <x v="0"/>
    <x v="0"/>
    <x v="2"/>
    <n v="55"/>
    <n v="72186"/>
    <n v="25437"/>
    <x v="1"/>
    <n v="97623"/>
  </r>
  <r>
    <n v="1233"/>
    <s v="Emp_233"/>
    <x v="2"/>
    <x v="1"/>
    <x v="4"/>
    <x v="2"/>
    <n v="29"/>
    <n v="64648"/>
    <n v="8937"/>
    <x v="1"/>
    <n v="73585"/>
  </r>
  <r>
    <n v="1234"/>
    <s v="Emp_234"/>
    <x v="2"/>
    <x v="1"/>
    <x v="2"/>
    <x v="3"/>
    <n v="39"/>
    <n v="48549"/>
    <n v="8963"/>
    <x v="0"/>
    <n v="57512"/>
  </r>
  <r>
    <n v="1235"/>
    <s v="Emp_235"/>
    <x v="6"/>
    <x v="0"/>
    <x v="0"/>
    <x v="1"/>
    <n v="26"/>
    <n v="69554.53"/>
    <n v="26326"/>
    <x v="0"/>
    <n v="95880.53"/>
  </r>
  <r>
    <n v="1236"/>
    <s v="Emp_236"/>
    <x v="4"/>
    <x v="0"/>
    <x v="4"/>
    <x v="0"/>
    <n v="47"/>
    <n v="45761"/>
    <n v="10897"/>
    <x v="0"/>
    <n v="56658"/>
  </r>
  <r>
    <n v="1237"/>
    <s v="Emp_237"/>
    <x v="1"/>
    <x v="0"/>
    <x v="1"/>
    <x v="1"/>
    <n v="51"/>
    <n v="23262"/>
    <n v="13974"/>
    <x v="0"/>
    <n v="37236"/>
  </r>
  <r>
    <n v="1238"/>
    <s v="Emp_238"/>
    <x v="0"/>
    <x v="1"/>
    <x v="4"/>
    <x v="1"/>
    <n v="34"/>
    <n v="71259"/>
    <n v="19377"/>
    <x v="0"/>
    <n v="90636"/>
  </r>
  <r>
    <n v="1239"/>
    <s v="Emp_239"/>
    <x v="3"/>
    <x v="0"/>
    <x v="2"/>
    <x v="2"/>
    <n v="40"/>
    <n v="92572"/>
    <n v="22500"/>
    <x v="1"/>
    <n v="115072"/>
  </r>
  <r>
    <n v="1240"/>
    <s v="Emp_240"/>
    <x v="4"/>
    <x v="1"/>
    <x v="3"/>
    <x v="0"/>
    <n v="50"/>
    <n v="73472"/>
    <n v="21056"/>
    <x v="0"/>
    <n v="94528"/>
  </r>
  <r>
    <n v="1241"/>
    <s v="Emp_241"/>
    <x v="4"/>
    <x v="1"/>
    <x v="4"/>
    <x v="1"/>
    <n v="24"/>
    <n v="107858"/>
    <n v="6750"/>
    <x v="0"/>
    <n v="114608"/>
  </r>
  <r>
    <n v="1242"/>
    <s v="Emp_242"/>
    <x v="2"/>
    <x v="0"/>
    <x v="3"/>
    <x v="1"/>
    <n v="47"/>
    <n v="104667"/>
    <n v="9027"/>
    <x v="0"/>
    <n v="113694"/>
  </r>
  <r>
    <n v="1243"/>
    <s v="Emp_243"/>
    <x v="5"/>
    <x v="0"/>
    <x v="1"/>
    <x v="0"/>
    <n v="33"/>
    <n v="69554.53"/>
    <n v="16528"/>
    <x v="0"/>
    <n v="86082.53"/>
  </r>
  <r>
    <n v="1244"/>
    <s v="Emp_244"/>
    <x v="5"/>
    <x v="1"/>
    <x v="4"/>
    <x v="2"/>
    <n v="23"/>
    <n v="93508"/>
    <n v="10745"/>
    <x v="1"/>
    <n v="104253"/>
  </r>
  <r>
    <n v="1245"/>
    <s v="Emp_245"/>
    <x v="0"/>
    <x v="0"/>
    <x v="0"/>
    <x v="1"/>
    <n v="32"/>
    <n v="100865"/>
    <n v="26448"/>
    <x v="0"/>
    <n v="127313"/>
  </r>
  <r>
    <n v="1246"/>
    <s v="Emp_246"/>
    <x v="2"/>
    <x v="1"/>
    <x v="3"/>
    <x v="3"/>
    <n v="49"/>
    <n v="70617"/>
    <n v="14679"/>
    <x v="0"/>
    <n v="85296"/>
  </r>
  <r>
    <n v="1247"/>
    <s v="Emp_247"/>
    <x v="4"/>
    <x v="0"/>
    <x v="1"/>
    <x v="1"/>
    <n v="39"/>
    <n v="106029"/>
    <n v="10938"/>
    <x v="1"/>
    <n v="116967"/>
  </r>
  <r>
    <n v="1248"/>
    <s v="Emp_248"/>
    <x v="1"/>
    <x v="0"/>
    <x v="0"/>
    <x v="3"/>
    <n v="34"/>
    <n v="38595"/>
    <n v="17150"/>
    <x v="0"/>
    <n v="55745"/>
  </r>
  <r>
    <n v="1249"/>
    <s v="Emp_249"/>
    <x v="2"/>
    <x v="0"/>
    <x v="0"/>
    <x v="2"/>
    <n v="58"/>
    <n v="107459"/>
    <n v="18406"/>
    <x v="0"/>
    <n v="125865"/>
  </r>
  <r>
    <n v="1250"/>
    <s v="Emp_250"/>
    <x v="0"/>
    <x v="1"/>
    <x v="0"/>
    <x v="1"/>
    <n v="43"/>
    <n v="80148"/>
    <n v="24781"/>
    <x v="0"/>
    <n v="104929"/>
  </r>
  <r>
    <n v="1251"/>
    <s v="Emp_251"/>
    <x v="6"/>
    <x v="0"/>
    <x v="0"/>
    <x v="0"/>
    <n v="33"/>
    <n v="66926"/>
    <n v="29649"/>
    <x v="2"/>
    <n v="96575"/>
  </r>
  <r>
    <n v="1252"/>
    <s v="Emp_252"/>
    <x v="2"/>
    <x v="1"/>
    <x v="4"/>
    <x v="0"/>
    <n v="23"/>
    <n v="95271"/>
    <n v="22743"/>
    <x v="1"/>
    <n v="118014"/>
  </r>
  <r>
    <n v="1253"/>
    <s v="Emp_253"/>
    <x v="0"/>
    <x v="1"/>
    <x v="4"/>
    <x v="1"/>
    <n v="58"/>
    <n v="54457"/>
    <n v="9853"/>
    <x v="1"/>
    <n v="64310"/>
  </r>
  <r>
    <n v="1254"/>
    <s v="Emp_254"/>
    <x v="2"/>
    <x v="1"/>
    <x v="4"/>
    <x v="2"/>
    <n v="28"/>
    <n v="62531"/>
    <n v="23325"/>
    <x v="1"/>
    <n v="85856"/>
  </r>
  <r>
    <n v="1255"/>
    <s v="Emp_255"/>
    <x v="3"/>
    <x v="1"/>
    <x v="1"/>
    <x v="2"/>
    <n v="47"/>
    <n v="93263"/>
    <n v="8148"/>
    <x v="0"/>
    <n v="101411"/>
  </r>
  <r>
    <n v="1256"/>
    <s v="Emp_256"/>
    <x v="2"/>
    <x v="0"/>
    <x v="1"/>
    <x v="0"/>
    <n v="47"/>
    <n v="93300"/>
    <n v="21243"/>
    <x v="1"/>
    <n v="114543"/>
  </r>
  <r>
    <n v="1257"/>
    <s v="Emp_257"/>
    <x v="2"/>
    <x v="1"/>
    <x v="1"/>
    <x v="1"/>
    <n v="45"/>
    <n v="83171"/>
    <n v="12933"/>
    <x v="0"/>
    <n v="96104"/>
  </r>
  <r>
    <n v="1258"/>
    <s v="Emp_258"/>
    <x v="0"/>
    <x v="1"/>
    <x v="2"/>
    <x v="2"/>
    <n v="33"/>
    <n v="65771"/>
    <n v="14436"/>
    <x v="1"/>
    <n v="80207"/>
  </r>
  <r>
    <n v="1259"/>
    <s v="Emp_259"/>
    <x v="0"/>
    <x v="0"/>
    <x v="1"/>
    <x v="0"/>
    <n v="37"/>
    <n v="69554.53"/>
    <n v="22669"/>
    <x v="0"/>
    <n v="92223.53"/>
  </r>
  <r>
    <n v="1260"/>
    <s v="Emp_260"/>
    <x v="5"/>
    <x v="1"/>
    <x v="4"/>
    <x v="3"/>
    <n v="44"/>
    <n v="86354"/>
    <n v="11474"/>
    <x v="0"/>
    <n v="97828"/>
  </r>
  <r>
    <n v="1261"/>
    <s v="Emp_261"/>
    <x v="5"/>
    <x v="0"/>
    <x v="4"/>
    <x v="1"/>
    <n v="30"/>
    <n v="57289"/>
    <n v="19679"/>
    <x v="0"/>
    <n v="76968"/>
  </r>
  <r>
    <n v="1262"/>
    <s v="Emp_262"/>
    <x v="3"/>
    <x v="1"/>
    <x v="2"/>
    <x v="3"/>
    <n v="53"/>
    <n v="53892"/>
    <n v="16228"/>
    <x v="0"/>
    <n v="70120"/>
  </r>
  <r>
    <n v="1263"/>
    <s v="Emp_263"/>
    <x v="5"/>
    <x v="0"/>
    <x v="2"/>
    <x v="3"/>
    <n v="36"/>
    <n v="91196"/>
    <n v="5770"/>
    <x v="2"/>
    <n v="96966"/>
  </r>
  <r>
    <n v="1264"/>
    <s v="Emp_264"/>
    <x v="2"/>
    <x v="1"/>
    <x v="1"/>
    <x v="2"/>
    <n v="58"/>
    <n v="115057"/>
    <n v="6843"/>
    <x v="0"/>
    <n v="121900"/>
  </r>
  <r>
    <n v="1265"/>
    <s v="Emp_265"/>
    <x v="0"/>
    <x v="0"/>
    <x v="3"/>
    <x v="2"/>
    <n v="34"/>
    <n v="58409"/>
    <n v="5073"/>
    <x v="0"/>
    <n v="63482"/>
  </r>
  <r>
    <n v="1266"/>
    <s v="Emp_266"/>
    <x v="5"/>
    <x v="1"/>
    <x v="2"/>
    <x v="2"/>
    <n v="26"/>
    <n v="54470"/>
    <n v="23044"/>
    <x v="0"/>
    <n v="77514"/>
  </r>
  <r>
    <n v="1267"/>
    <s v="Emp_267"/>
    <x v="5"/>
    <x v="1"/>
    <x v="0"/>
    <x v="1"/>
    <n v="32"/>
    <n v="38385"/>
    <n v="21059"/>
    <x v="0"/>
    <n v="59444"/>
  </r>
  <r>
    <n v="1268"/>
    <s v="Emp_268"/>
    <x v="3"/>
    <x v="0"/>
    <x v="4"/>
    <x v="3"/>
    <n v="31"/>
    <n v="43296"/>
    <n v="25733"/>
    <x v="0"/>
    <n v="69029"/>
  </r>
  <r>
    <n v="1269"/>
    <s v="Emp_269"/>
    <x v="4"/>
    <x v="0"/>
    <x v="0"/>
    <x v="1"/>
    <n v="34"/>
    <n v="81716"/>
    <n v="28486"/>
    <x v="0"/>
    <n v="110202"/>
  </r>
  <r>
    <n v="1270"/>
    <s v="Emp_270"/>
    <x v="3"/>
    <x v="0"/>
    <x v="4"/>
    <x v="2"/>
    <n v="36"/>
    <n v="109152"/>
    <n v="13000"/>
    <x v="0"/>
    <n v="122152"/>
  </r>
  <r>
    <n v="1271"/>
    <s v="Emp_271"/>
    <x v="2"/>
    <x v="0"/>
    <x v="4"/>
    <x v="3"/>
    <n v="28"/>
    <n v="46382"/>
    <n v="25202"/>
    <x v="0"/>
    <n v="71584"/>
  </r>
  <r>
    <n v="1272"/>
    <s v="Emp_272"/>
    <x v="0"/>
    <x v="1"/>
    <x v="2"/>
    <x v="1"/>
    <n v="49"/>
    <n v="96675"/>
    <n v="18273"/>
    <x v="0"/>
    <n v="114948"/>
  </r>
  <r>
    <n v="1273"/>
    <s v="Emp_273"/>
    <x v="3"/>
    <x v="1"/>
    <x v="2"/>
    <x v="1"/>
    <n v="53"/>
    <n v="117596"/>
    <n v="21121"/>
    <x v="0"/>
    <n v="138717"/>
  </r>
  <r>
    <n v="1274"/>
    <s v="Emp_274"/>
    <x v="5"/>
    <x v="0"/>
    <x v="0"/>
    <x v="0"/>
    <n v="56"/>
    <n v="42419"/>
    <n v="5331"/>
    <x v="1"/>
    <n v="47750"/>
  </r>
  <r>
    <n v="1275"/>
    <s v="Emp_275"/>
    <x v="0"/>
    <x v="1"/>
    <x v="4"/>
    <x v="1"/>
    <n v="36"/>
    <n v="113321"/>
    <n v="22805"/>
    <x v="0"/>
    <n v="136126"/>
  </r>
  <r>
    <n v="1276"/>
    <s v="Emp_276"/>
    <x v="0"/>
    <x v="0"/>
    <x v="0"/>
    <x v="2"/>
    <n v="57"/>
    <n v="101238"/>
    <n v="12512"/>
    <x v="0"/>
    <n v="113750"/>
  </r>
  <r>
    <n v="1277"/>
    <s v="Emp_277"/>
    <x v="5"/>
    <x v="0"/>
    <x v="3"/>
    <x v="1"/>
    <n v="42"/>
    <n v="114753"/>
    <n v="28274"/>
    <x v="0"/>
    <n v="143027"/>
  </r>
  <r>
    <n v="1278"/>
    <s v="Emp_278"/>
    <x v="3"/>
    <x v="1"/>
    <x v="0"/>
    <x v="3"/>
    <n v="27"/>
    <n v="59291"/>
    <n v="9931"/>
    <x v="1"/>
    <n v="69222"/>
  </r>
  <r>
    <n v="1279"/>
    <s v="Emp_279"/>
    <x v="5"/>
    <x v="1"/>
    <x v="1"/>
    <x v="1"/>
    <n v="22"/>
    <n v="32397"/>
    <n v="17742"/>
    <x v="0"/>
    <n v="50139"/>
  </r>
  <r>
    <n v="1280"/>
    <s v="Emp_280"/>
    <x v="4"/>
    <x v="2"/>
    <x v="0"/>
    <x v="0"/>
    <n v="25"/>
    <n v="77888"/>
    <n v="27409"/>
    <x v="0"/>
    <n v="105297"/>
  </r>
  <r>
    <n v="1281"/>
    <s v="Emp_281"/>
    <x v="0"/>
    <x v="1"/>
    <x v="1"/>
    <x v="3"/>
    <n v="32"/>
    <n v="55169"/>
    <n v="18426"/>
    <x v="1"/>
    <n v="73595"/>
  </r>
  <r>
    <n v="1282"/>
    <s v="Emp_282"/>
    <x v="1"/>
    <x v="1"/>
    <x v="1"/>
    <x v="3"/>
    <n v="47"/>
    <n v="82182"/>
    <n v="25792"/>
    <x v="0"/>
    <n v="107974"/>
  </r>
  <r>
    <n v="1283"/>
    <s v="Emp_283"/>
    <x v="1"/>
    <x v="1"/>
    <x v="1"/>
    <x v="0"/>
    <n v="58"/>
    <n v="69554.53"/>
    <n v="10113"/>
    <x v="0"/>
    <n v="79667.53"/>
  </r>
  <r>
    <n v="1284"/>
    <s v="Emp_284"/>
    <x v="2"/>
    <x v="1"/>
    <x v="3"/>
    <x v="2"/>
    <n v="44"/>
    <n v="62249"/>
    <n v="13419"/>
    <x v="0"/>
    <n v="75668"/>
  </r>
  <r>
    <n v="1285"/>
    <s v="Emp_285"/>
    <x v="5"/>
    <x v="0"/>
    <x v="0"/>
    <x v="3"/>
    <n v="50"/>
    <n v="48341"/>
    <n v="7881"/>
    <x v="1"/>
    <n v="56222"/>
  </r>
  <r>
    <n v="1286"/>
    <s v="Emp_286"/>
    <x v="5"/>
    <x v="0"/>
    <x v="0"/>
    <x v="2"/>
    <n v="42"/>
    <n v="95603"/>
    <n v="18145"/>
    <x v="1"/>
    <n v="113748"/>
  </r>
  <r>
    <n v="1287"/>
    <s v="Emp_287"/>
    <x v="2"/>
    <x v="0"/>
    <x v="3"/>
    <x v="3"/>
    <n v="48"/>
    <n v="66144"/>
    <n v="18556"/>
    <x v="0"/>
    <n v="84700"/>
  </r>
  <r>
    <n v="1288"/>
    <s v="Emp_288"/>
    <x v="2"/>
    <x v="0"/>
    <x v="4"/>
    <x v="3"/>
    <n v="34"/>
    <n v="69554.53"/>
    <n v="24249"/>
    <x v="0"/>
    <n v="93803.53"/>
  </r>
  <r>
    <n v="1289"/>
    <s v="Emp_289"/>
    <x v="2"/>
    <x v="0"/>
    <x v="2"/>
    <x v="2"/>
    <n v="44"/>
    <n v="99360"/>
    <n v="7575"/>
    <x v="0"/>
    <n v="106935"/>
  </r>
  <r>
    <n v="1290"/>
    <s v="Emp_290"/>
    <x v="0"/>
    <x v="1"/>
    <x v="0"/>
    <x v="3"/>
    <n v="37"/>
    <n v="33444"/>
    <n v="17714"/>
    <x v="1"/>
    <n v="51158"/>
  </r>
  <r>
    <n v="1291"/>
    <s v="Emp_291"/>
    <x v="4"/>
    <x v="0"/>
    <x v="2"/>
    <x v="2"/>
    <n v="51"/>
    <n v="65647"/>
    <n v="11185"/>
    <x v="1"/>
    <n v="76832"/>
  </r>
  <r>
    <n v="1292"/>
    <s v="Emp_292"/>
    <x v="5"/>
    <x v="0"/>
    <x v="3"/>
    <x v="0"/>
    <n v="25"/>
    <n v="118843"/>
    <n v="13656"/>
    <x v="0"/>
    <n v="132499"/>
  </r>
  <r>
    <n v="1293"/>
    <s v="Emp_293"/>
    <x v="0"/>
    <x v="0"/>
    <x v="4"/>
    <x v="2"/>
    <n v="37"/>
    <n v="30974"/>
    <n v="10741"/>
    <x v="0"/>
    <n v="41715"/>
  </r>
  <r>
    <n v="1294"/>
    <s v="Emp_294"/>
    <x v="2"/>
    <x v="0"/>
    <x v="4"/>
    <x v="0"/>
    <n v="52"/>
    <n v="58383"/>
    <n v="21661"/>
    <x v="0"/>
    <n v="80044"/>
  </r>
  <r>
    <n v="1295"/>
    <s v="Emp_295"/>
    <x v="5"/>
    <x v="0"/>
    <x v="4"/>
    <x v="3"/>
    <n v="46"/>
    <n v="114826"/>
    <n v="5065"/>
    <x v="0"/>
    <n v="119891"/>
  </r>
  <r>
    <n v="1296"/>
    <s v="Emp_296"/>
    <x v="0"/>
    <x v="0"/>
    <x v="3"/>
    <x v="2"/>
    <n v="33"/>
    <n v="101552"/>
    <n v="9262"/>
    <x v="1"/>
    <n v="110814"/>
  </r>
  <r>
    <n v="1297"/>
    <s v="Emp_297"/>
    <x v="6"/>
    <x v="0"/>
    <x v="1"/>
    <x v="3"/>
    <n v="47"/>
    <n v="117648"/>
    <n v="10704"/>
    <x v="0"/>
    <n v="128352"/>
  </r>
  <r>
    <n v="1298"/>
    <s v="Emp_298"/>
    <x v="0"/>
    <x v="1"/>
    <x v="1"/>
    <x v="2"/>
    <n v="58"/>
    <n v="114049"/>
    <n v="20355"/>
    <x v="0"/>
    <n v="134404"/>
  </r>
  <r>
    <n v="1299"/>
    <s v="Emp_299"/>
    <x v="4"/>
    <x v="1"/>
    <x v="2"/>
    <x v="0"/>
    <n v="54"/>
    <n v="22956"/>
    <n v="13594"/>
    <x v="0"/>
    <n v="36550"/>
  </r>
  <r>
    <n v="1300"/>
    <s v="Emp_300"/>
    <x v="2"/>
    <x v="0"/>
    <x v="1"/>
    <x v="0"/>
    <n v="49"/>
    <n v="28077"/>
    <n v="17175"/>
    <x v="0"/>
    <n v="45252"/>
  </r>
  <r>
    <n v="1301"/>
    <s v="Emp_301"/>
    <x v="4"/>
    <x v="1"/>
    <x v="1"/>
    <x v="2"/>
    <n v="30"/>
    <n v="56490"/>
    <n v="29373"/>
    <x v="0"/>
    <n v="85863"/>
  </r>
  <r>
    <n v="1302"/>
    <s v="Emp_302"/>
    <x v="5"/>
    <x v="1"/>
    <x v="4"/>
    <x v="0"/>
    <n v="33"/>
    <n v="75612"/>
    <n v="17696"/>
    <x v="0"/>
    <n v="93308"/>
  </r>
  <r>
    <n v="1303"/>
    <s v="Emp_303"/>
    <x v="2"/>
    <x v="1"/>
    <x v="4"/>
    <x v="3"/>
    <n v="26"/>
    <n v="56159"/>
    <n v="11255"/>
    <x v="0"/>
    <n v="67414"/>
  </r>
  <r>
    <n v="1304"/>
    <s v="Emp_304"/>
    <x v="5"/>
    <x v="1"/>
    <x v="2"/>
    <x v="3"/>
    <n v="49"/>
    <n v="59710"/>
    <n v="12441"/>
    <x v="0"/>
    <n v="72151"/>
  </r>
  <r>
    <n v="1305"/>
    <s v="Emp_305"/>
    <x v="1"/>
    <x v="0"/>
    <x v="0"/>
    <x v="1"/>
    <n v="56"/>
    <n v="103536"/>
    <n v="26076"/>
    <x v="0"/>
    <n v="129612"/>
  </r>
  <r>
    <n v="1306"/>
    <s v="Emp_306"/>
    <x v="3"/>
    <x v="1"/>
    <x v="2"/>
    <x v="0"/>
    <n v="26"/>
    <n v="33806"/>
    <n v="19986"/>
    <x v="0"/>
    <n v="53792"/>
  </r>
  <r>
    <n v="1307"/>
    <s v="Emp_307"/>
    <x v="4"/>
    <x v="1"/>
    <x v="2"/>
    <x v="3"/>
    <n v="55"/>
    <n v="98345"/>
    <n v="18350"/>
    <x v="0"/>
    <n v="116695"/>
  </r>
  <r>
    <n v="1308"/>
    <s v="Emp_308"/>
    <x v="3"/>
    <x v="1"/>
    <x v="3"/>
    <x v="2"/>
    <n v="55"/>
    <n v="100391"/>
    <n v="19440"/>
    <x v="0"/>
    <n v="119831"/>
  </r>
  <r>
    <n v="1309"/>
    <s v="Emp_309"/>
    <x v="3"/>
    <x v="0"/>
    <x v="3"/>
    <x v="0"/>
    <n v="34"/>
    <n v="114924"/>
    <n v="25803"/>
    <x v="0"/>
    <n v="140727"/>
  </r>
  <r>
    <n v="1310"/>
    <s v="Emp_310"/>
    <x v="6"/>
    <x v="0"/>
    <x v="2"/>
    <x v="3"/>
    <n v="35"/>
    <n v="26458"/>
    <n v="12960"/>
    <x v="0"/>
    <n v="39418"/>
  </r>
  <r>
    <n v="1311"/>
    <s v="Emp_311"/>
    <x v="2"/>
    <x v="0"/>
    <x v="2"/>
    <x v="0"/>
    <n v="32"/>
    <n v="55524"/>
    <n v="27462"/>
    <x v="0"/>
    <n v="82986"/>
  </r>
  <r>
    <n v="1312"/>
    <s v="Emp_312"/>
    <x v="1"/>
    <x v="0"/>
    <x v="2"/>
    <x v="2"/>
    <n v="59"/>
    <n v="26853"/>
    <n v="22821"/>
    <x v="1"/>
    <n v="49674"/>
  </r>
  <r>
    <n v="1313"/>
    <s v="Emp_313"/>
    <x v="5"/>
    <x v="0"/>
    <x v="1"/>
    <x v="3"/>
    <n v="25"/>
    <n v="60477"/>
    <n v="28416"/>
    <x v="0"/>
    <n v="88893"/>
  </r>
  <r>
    <n v="1314"/>
    <s v="Emp_314"/>
    <x v="0"/>
    <x v="0"/>
    <x v="3"/>
    <x v="1"/>
    <n v="54"/>
    <n v="52222"/>
    <n v="27115"/>
    <x v="0"/>
    <n v="79337"/>
  </r>
  <r>
    <n v="1315"/>
    <s v="Emp_315"/>
    <x v="5"/>
    <x v="0"/>
    <x v="2"/>
    <x v="1"/>
    <n v="28"/>
    <n v="38320"/>
    <n v="24762"/>
    <x v="0"/>
    <n v="63082"/>
  </r>
  <r>
    <n v="1316"/>
    <s v="Emp_316"/>
    <x v="0"/>
    <x v="1"/>
    <x v="4"/>
    <x v="0"/>
    <n v="29"/>
    <n v="114154"/>
    <n v="18665"/>
    <x v="0"/>
    <n v="132819"/>
  </r>
  <r>
    <n v="1317"/>
    <s v="Emp_317"/>
    <x v="5"/>
    <x v="1"/>
    <x v="4"/>
    <x v="2"/>
    <n v="58"/>
    <n v="72243"/>
    <n v="29968"/>
    <x v="0"/>
    <n v="102211"/>
  </r>
  <r>
    <n v="1318"/>
    <s v="Emp_318"/>
    <x v="4"/>
    <x v="1"/>
    <x v="1"/>
    <x v="3"/>
    <n v="31"/>
    <n v="65615"/>
    <n v="27731"/>
    <x v="1"/>
    <n v="93346"/>
  </r>
  <r>
    <n v="1319"/>
    <s v="Emp_319"/>
    <x v="1"/>
    <x v="0"/>
    <x v="1"/>
    <x v="2"/>
    <n v="36"/>
    <n v="37352"/>
    <n v="27785"/>
    <x v="0"/>
    <n v="65137"/>
  </r>
  <r>
    <n v="1320"/>
    <s v="Emp_320"/>
    <x v="0"/>
    <x v="0"/>
    <x v="0"/>
    <x v="3"/>
    <n v="59"/>
    <n v="92833"/>
    <n v="11629"/>
    <x v="2"/>
    <n v="104462"/>
  </r>
  <r>
    <n v="1321"/>
    <s v="Emp_321"/>
    <x v="2"/>
    <x v="0"/>
    <x v="0"/>
    <x v="0"/>
    <n v="36"/>
    <n v="113476"/>
    <n v="18828"/>
    <x v="0"/>
    <n v="132304"/>
  </r>
  <r>
    <n v="1322"/>
    <s v="Emp_322"/>
    <x v="5"/>
    <x v="0"/>
    <x v="0"/>
    <x v="3"/>
    <n v="26"/>
    <n v="23203"/>
    <n v="9541"/>
    <x v="0"/>
    <n v="32744"/>
  </r>
  <r>
    <n v="1323"/>
    <s v="Emp_323"/>
    <x v="5"/>
    <x v="0"/>
    <x v="1"/>
    <x v="2"/>
    <n v="50"/>
    <n v="59267"/>
    <n v="12876"/>
    <x v="1"/>
    <n v="72143"/>
  </r>
  <r>
    <n v="1324"/>
    <s v="Emp_324"/>
    <x v="0"/>
    <x v="1"/>
    <x v="1"/>
    <x v="2"/>
    <n v="40"/>
    <n v="57941"/>
    <n v="18311"/>
    <x v="0"/>
    <n v="76252"/>
  </r>
  <r>
    <n v="1325"/>
    <s v="Emp_325"/>
    <x v="2"/>
    <x v="1"/>
    <x v="1"/>
    <x v="0"/>
    <n v="31"/>
    <n v="102809"/>
    <n v="29917"/>
    <x v="1"/>
    <n v="132726"/>
  </r>
  <r>
    <n v="1326"/>
    <s v="Emp_326"/>
    <x v="2"/>
    <x v="0"/>
    <x v="4"/>
    <x v="2"/>
    <n v="33"/>
    <n v="45368"/>
    <n v="29708"/>
    <x v="0"/>
    <n v="75076"/>
  </r>
  <r>
    <n v="1327"/>
    <s v="Emp_327"/>
    <x v="4"/>
    <x v="2"/>
    <x v="1"/>
    <x v="3"/>
    <n v="25"/>
    <n v="97186"/>
    <n v="19588"/>
    <x v="0"/>
    <n v="116774"/>
  </r>
  <r>
    <n v="1328"/>
    <s v="Emp_328"/>
    <x v="4"/>
    <x v="0"/>
    <x v="4"/>
    <x v="0"/>
    <n v="52"/>
    <n v="50984"/>
    <n v="21648"/>
    <x v="0"/>
    <n v="72632"/>
  </r>
  <r>
    <n v="1329"/>
    <s v="Emp_329"/>
    <x v="4"/>
    <x v="0"/>
    <x v="0"/>
    <x v="3"/>
    <n v="39"/>
    <n v="61941"/>
    <n v="17380"/>
    <x v="1"/>
    <n v="79321"/>
  </r>
  <r>
    <n v="1330"/>
    <s v="Emp_330"/>
    <x v="4"/>
    <x v="1"/>
    <x v="0"/>
    <x v="2"/>
    <n v="37"/>
    <n v="92918"/>
    <n v="14877"/>
    <x v="1"/>
    <n v="107795"/>
  </r>
  <r>
    <n v="1331"/>
    <s v="Emp_331"/>
    <x v="4"/>
    <x v="0"/>
    <x v="0"/>
    <x v="0"/>
    <n v="57"/>
    <n v="72683"/>
    <n v="22818"/>
    <x v="0"/>
    <n v="95501"/>
  </r>
  <r>
    <n v="1332"/>
    <s v="Emp_332"/>
    <x v="4"/>
    <x v="0"/>
    <x v="2"/>
    <x v="3"/>
    <n v="46"/>
    <n v="20801"/>
    <n v="26711"/>
    <x v="1"/>
    <n v="47512"/>
  </r>
  <r>
    <n v="1333"/>
    <s v="Emp_333"/>
    <x v="1"/>
    <x v="0"/>
    <x v="2"/>
    <x v="2"/>
    <n v="44"/>
    <n v="67965"/>
    <n v="10097"/>
    <x v="0"/>
    <n v="78062"/>
  </r>
  <r>
    <n v="1334"/>
    <s v="Emp_334"/>
    <x v="2"/>
    <x v="0"/>
    <x v="3"/>
    <x v="2"/>
    <n v="33"/>
    <n v="105269"/>
    <n v="23044"/>
    <x v="0"/>
    <n v="128313"/>
  </r>
  <r>
    <n v="1335"/>
    <s v="Emp_335"/>
    <x v="5"/>
    <x v="1"/>
    <x v="3"/>
    <x v="1"/>
    <n v="55"/>
    <n v="29969"/>
    <n v="27076"/>
    <x v="0"/>
    <n v="57045"/>
  </r>
  <r>
    <n v="1336"/>
    <s v="Emp_336"/>
    <x v="2"/>
    <x v="0"/>
    <x v="3"/>
    <x v="2"/>
    <n v="57"/>
    <n v="55969"/>
    <n v="23738"/>
    <x v="0"/>
    <n v="79707"/>
  </r>
  <r>
    <n v="1337"/>
    <s v="Emp_337"/>
    <x v="2"/>
    <x v="0"/>
    <x v="2"/>
    <x v="3"/>
    <n v="58"/>
    <n v="102269"/>
    <n v="29841"/>
    <x v="0"/>
    <n v="132110"/>
  </r>
  <r>
    <n v="1338"/>
    <s v="Emp_338"/>
    <x v="3"/>
    <x v="1"/>
    <x v="2"/>
    <x v="0"/>
    <n v="24"/>
    <n v="52449"/>
    <n v="11461"/>
    <x v="0"/>
    <n v="63910"/>
  </r>
  <r>
    <n v="1339"/>
    <s v="Emp_339"/>
    <x v="1"/>
    <x v="1"/>
    <x v="3"/>
    <x v="1"/>
    <n v="30"/>
    <n v="111679"/>
    <n v="12044"/>
    <x v="0"/>
    <n v="123723"/>
  </r>
  <r>
    <n v="1340"/>
    <s v="Emp_340"/>
    <x v="4"/>
    <x v="1"/>
    <x v="3"/>
    <x v="2"/>
    <n v="39"/>
    <n v="45705"/>
    <n v="10497"/>
    <x v="0"/>
    <n v="56202"/>
  </r>
  <r>
    <n v="1341"/>
    <s v="Emp_341"/>
    <x v="5"/>
    <x v="0"/>
    <x v="1"/>
    <x v="2"/>
    <n v="56"/>
    <n v="80303"/>
    <n v="25933"/>
    <x v="1"/>
    <n v="106236"/>
  </r>
  <r>
    <n v="1342"/>
    <s v="Emp_342"/>
    <x v="0"/>
    <x v="0"/>
    <x v="3"/>
    <x v="2"/>
    <n v="55"/>
    <n v="48363"/>
    <n v="27718"/>
    <x v="0"/>
    <n v="76081"/>
  </r>
  <r>
    <n v="1343"/>
    <s v="Emp_343"/>
    <x v="5"/>
    <x v="1"/>
    <x v="1"/>
    <x v="3"/>
    <n v="35"/>
    <n v="50720"/>
    <n v="27394"/>
    <x v="1"/>
    <n v="78114"/>
  </r>
  <r>
    <n v="1344"/>
    <s v="Emp_344"/>
    <x v="1"/>
    <x v="1"/>
    <x v="4"/>
    <x v="1"/>
    <n v="25"/>
    <n v="29972"/>
    <n v="18751"/>
    <x v="1"/>
    <n v="48723"/>
  </r>
  <r>
    <n v="1345"/>
    <s v="Emp_345"/>
    <x v="0"/>
    <x v="1"/>
    <x v="2"/>
    <x v="3"/>
    <n v="50"/>
    <n v="53351"/>
    <n v="26310"/>
    <x v="1"/>
    <n v="79661"/>
  </r>
  <r>
    <n v="1346"/>
    <s v="Emp_346"/>
    <x v="1"/>
    <x v="1"/>
    <x v="3"/>
    <x v="1"/>
    <n v="36"/>
    <n v="56145"/>
    <n v="14304"/>
    <x v="0"/>
    <n v="70449"/>
  </r>
  <r>
    <n v="1347"/>
    <s v="Emp_347"/>
    <x v="2"/>
    <x v="1"/>
    <x v="2"/>
    <x v="0"/>
    <n v="49"/>
    <n v="107948"/>
    <n v="15426"/>
    <x v="0"/>
    <n v="123374"/>
  </r>
  <r>
    <n v="1348"/>
    <s v="Emp_348"/>
    <x v="0"/>
    <x v="1"/>
    <x v="2"/>
    <x v="3"/>
    <n v="37"/>
    <n v="109614"/>
    <n v="16058"/>
    <x v="0"/>
    <n v="125672"/>
  </r>
  <r>
    <n v="1349"/>
    <s v="Emp_349"/>
    <x v="2"/>
    <x v="0"/>
    <x v="2"/>
    <x v="3"/>
    <n v="33"/>
    <n v="108116"/>
    <n v="27449"/>
    <x v="0"/>
    <n v="135565"/>
  </r>
  <r>
    <n v="1350"/>
    <s v="Emp_350"/>
    <x v="5"/>
    <x v="0"/>
    <x v="4"/>
    <x v="0"/>
    <n v="26"/>
    <n v="76235"/>
    <n v="16260"/>
    <x v="0"/>
    <n v="92495"/>
  </r>
  <r>
    <n v="1351"/>
    <s v="Emp_351"/>
    <x v="5"/>
    <x v="0"/>
    <x v="0"/>
    <x v="1"/>
    <n v="55"/>
    <n v="34855"/>
    <n v="23563"/>
    <x v="0"/>
    <n v="58418"/>
  </r>
  <r>
    <n v="1352"/>
    <s v="Emp_352"/>
    <x v="0"/>
    <x v="1"/>
    <x v="3"/>
    <x v="2"/>
    <n v="22"/>
    <n v="56169"/>
    <n v="26351"/>
    <x v="0"/>
    <n v="82520"/>
  </r>
  <r>
    <n v="1353"/>
    <s v="Emp_353"/>
    <x v="0"/>
    <x v="1"/>
    <x v="0"/>
    <x v="0"/>
    <n v="53"/>
    <n v="66404"/>
    <n v="5634"/>
    <x v="1"/>
    <n v="72038"/>
  </r>
  <r>
    <n v="1354"/>
    <s v="Emp_354"/>
    <x v="4"/>
    <x v="1"/>
    <x v="0"/>
    <x v="2"/>
    <n v="47"/>
    <n v="39569"/>
    <n v="25015"/>
    <x v="0"/>
    <n v="64584"/>
  </r>
  <r>
    <n v="1355"/>
    <s v="Emp_355"/>
    <x v="1"/>
    <x v="1"/>
    <x v="0"/>
    <x v="2"/>
    <n v="38"/>
    <n v="74437"/>
    <n v="15057"/>
    <x v="1"/>
    <n v="89494"/>
  </r>
  <r>
    <n v="1356"/>
    <s v="Emp_356"/>
    <x v="4"/>
    <x v="1"/>
    <x v="2"/>
    <x v="0"/>
    <n v="48"/>
    <n v="68506"/>
    <n v="18345"/>
    <x v="0"/>
    <n v="86851"/>
  </r>
  <r>
    <n v="1357"/>
    <s v="Emp_357"/>
    <x v="1"/>
    <x v="1"/>
    <x v="1"/>
    <x v="1"/>
    <n v="45"/>
    <n v="45738"/>
    <n v="15147"/>
    <x v="0"/>
    <n v="60885"/>
  </r>
  <r>
    <n v="1358"/>
    <s v="Emp_358"/>
    <x v="4"/>
    <x v="0"/>
    <x v="2"/>
    <x v="2"/>
    <n v="56"/>
    <n v="26772"/>
    <n v="26061"/>
    <x v="0"/>
    <n v="52833"/>
  </r>
  <r>
    <n v="1359"/>
    <s v="Emp_359"/>
    <x v="2"/>
    <x v="0"/>
    <x v="2"/>
    <x v="0"/>
    <n v="47"/>
    <n v="110410"/>
    <n v="23602"/>
    <x v="0"/>
    <n v="134012"/>
  </r>
  <r>
    <n v="1360"/>
    <s v="Emp_360"/>
    <x v="0"/>
    <x v="1"/>
    <x v="0"/>
    <x v="3"/>
    <n v="59"/>
    <n v="39731"/>
    <n v="6389"/>
    <x v="0"/>
    <n v="46120"/>
  </r>
  <r>
    <n v="1361"/>
    <s v="Emp_361"/>
    <x v="5"/>
    <x v="0"/>
    <x v="2"/>
    <x v="3"/>
    <n v="44"/>
    <n v="30131"/>
    <n v="18071"/>
    <x v="0"/>
    <n v="48202"/>
  </r>
  <r>
    <n v="1362"/>
    <s v="Emp_362"/>
    <x v="1"/>
    <x v="1"/>
    <x v="0"/>
    <x v="3"/>
    <n v="43"/>
    <n v="86324"/>
    <n v="16322"/>
    <x v="0"/>
    <n v="102646"/>
  </r>
  <r>
    <n v="1363"/>
    <s v="Emp_363"/>
    <x v="1"/>
    <x v="0"/>
    <x v="1"/>
    <x v="0"/>
    <n v="25"/>
    <n v="74097"/>
    <n v="9276"/>
    <x v="0"/>
    <n v="83373"/>
  </r>
  <r>
    <n v="1364"/>
    <s v="Emp_364"/>
    <x v="5"/>
    <x v="1"/>
    <x v="3"/>
    <x v="3"/>
    <n v="30"/>
    <n v="101720"/>
    <n v="17306"/>
    <x v="1"/>
    <n v="119026"/>
  </r>
  <r>
    <n v="1365"/>
    <s v="Emp_365"/>
    <x v="4"/>
    <x v="1"/>
    <x v="0"/>
    <x v="2"/>
    <n v="25"/>
    <n v="116433"/>
    <n v="6249"/>
    <x v="0"/>
    <n v="122682"/>
  </r>
  <r>
    <n v="1366"/>
    <s v="Emp_366"/>
    <x v="1"/>
    <x v="0"/>
    <x v="1"/>
    <x v="3"/>
    <n v="28"/>
    <n v="22889"/>
    <n v="29024"/>
    <x v="0"/>
    <n v="51913"/>
  </r>
  <r>
    <n v="1367"/>
    <s v="Emp_367"/>
    <x v="2"/>
    <x v="0"/>
    <x v="3"/>
    <x v="3"/>
    <n v="44"/>
    <n v="29569"/>
    <n v="27096"/>
    <x v="2"/>
    <n v="56665"/>
  </r>
  <r>
    <n v="1368"/>
    <s v="Emp_368"/>
    <x v="0"/>
    <x v="1"/>
    <x v="4"/>
    <x v="2"/>
    <n v="23"/>
    <n v="107193"/>
    <n v="22629"/>
    <x v="0"/>
    <n v="129822"/>
  </r>
  <r>
    <n v="1369"/>
    <s v="Emp_369"/>
    <x v="5"/>
    <x v="1"/>
    <x v="0"/>
    <x v="3"/>
    <n v="45"/>
    <n v="95677"/>
    <n v="13245"/>
    <x v="0"/>
    <n v="108922"/>
  </r>
  <r>
    <n v="1370"/>
    <s v="Emp_370"/>
    <x v="0"/>
    <x v="2"/>
    <x v="0"/>
    <x v="2"/>
    <n v="52"/>
    <n v="105192"/>
    <n v="16102"/>
    <x v="0"/>
    <n v="121294"/>
  </r>
  <r>
    <n v="1371"/>
    <s v="Emp_371"/>
    <x v="1"/>
    <x v="0"/>
    <x v="4"/>
    <x v="3"/>
    <n v="52"/>
    <n v="107154"/>
    <n v="21226"/>
    <x v="0"/>
    <n v="128380"/>
  </r>
  <r>
    <n v="1372"/>
    <s v="Emp_372"/>
    <x v="1"/>
    <x v="1"/>
    <x v="4"/>
    <x v="2"/>
    <n v="55"/>
    <n v="97470"/>
    <n v="15588"/>
    <x v="0"/>
    <n v="113058"/>
  </r>
  <r>
    <n v="1373"/>
    <s v="Emp_373"/>
    <x v="5"/>
    <x v="0"/>
    <x v="0"/>
    <x v="3"/>
    <n v="45"/>
    <n v="108822"/>
    <n v="5442"/>
    <x v="0"/>
    <n v="114264"/>
  </r>
  <r>
    <n v="1374"/>
    <s v="Emp_374"/>
    <x v="2"/>
    <x v="1"/>
    <x v="4"/>
    <x v="2"/>
    <n v="47"/>
    <n v="27612"/>
    <n v="11976"/>
    <x v="0"/>
    <n v="39588"/>
  </r>
  <r>
    <n v="1375"/>
    <s v="Emp_375"/>
    <x v="3"/>
    <x v="1"/>
    <x v="2"/>
    <x v="0"/>
    <n v="37"/>
    <n v="71644"/>
    <n v="9675"/>
    <x v="0"/>
    <n v="81319"/>
  </r>
  <r>
    <n v="1376"/>
    <s v="Emp_376"/>
    <x v="5"/>
    <x v="1"/>
    <x v="3"/>
    <x v="2"/>
    <n v="34"/>
    <n v="52069"/>
    <n v="16803"/>
    <x v="0"/>
    <n v="68872"/>
  </r>
  <r>
    <n v="1377"/>
    <s v="Emp_377"/>
    <x v="3"/>
    <x v="1"/>
    <x v="3"/>
    <x v="3"/>
    <n v="36"/>
    <n v="69554.53"/>
    <n v="12953"/>
    <x v="0"/>
    <n v="82507.53"/>
  </r>
  <r>
    <n v="1378"/>
    <s v="Emp_378"/>
    <x v="4"/>
    <x v="0"/>
    <x v="3"/>
    <x v="3"/>
    <n v="48"/>
    <n v="47331"/>
    <n v="9377"/>
    <x v="0"/>
    <n v="56708"/>
  </r>
  <r>
    <n v="1379"/>
    <s v="Emp_379"/>
    <x v="3"/>
    <x v="0"/>
    <x v="2"/>
    <x v="1"/>
    <n v="25"/>
    <n v="75897"/>
    <n v="15599"/>
    <x v="0"/>
    <n v="91496"/>
  </r>
  <r>
    <n v="1380"/>
    <s v="Emp_380"/>
    <x v="2"/>
    <x v="0"/>
    <x v="4"/>
    <x v="2"/>
    <n v="37"/>
    <n v="33934"/>
    <n v="12058"/>
    <x v="0"/>
    <n v="45992"/>
  </r>
  <r>
    <n v="1381"/>
    <s v="Emp_381"/>
    <x v="4"/>
    <x v="0"/>
    <x v="1"/>
    <x v="0"/>
    <n v="51"/>
    <n v="30095"/>
    <n v="22206"/>
    <x v="0"/>
    <n v="52301"/>
  </r>
  <r>
    <n v="1382"/>
    <s v="Emp_382"/>
    <x v="3"/>
    <x v="0"/>
    <x v="4"/>
    <x v="2"/>
    <n v="51"/>
    <n v="111494"/>
    <n v="16894"/>
    <x v="0"/>
    <n v="128388"/>
  </r>
  <r>
    <n v="1383"/>
    <s v="Emp_383"/>
    <x v="4"/>
    <x v="0"/>
    <x v="0"/>
    <x v="2"/>
    <n v="57"/>
    <n v="38706"/>
    <n v="7939"/>
    <x v="0"/>
    <n v="46645"/>
  </r>
  <r>
    <n v="1384"/>
    <s v="Emp_384"/>
    <x v="3"/>
    <x v="0"/>
    <x v="3"/>
    <x v="0"/>
    <n v="24"/>
    <n v="63516"/>
    <n v="28480"/>
    <x v="0"/>
    <n v="91996"/>
  </r>
  <r>
    <n v="1385"/>
    <s v="Emp_385"/>
    <x v="2"/>
    <x v="1"/>
    <x v="4"/>
    <x v="2"/>
    <n v="43"/>
    <n v="117008"/>
    <n v="27149"/>
    <x v="0"/>
    <n v="144157"/>
  </r>
  <r>
    <n v="1386"/>
    <s v="Emp_386"/>
    <x v="3"/>
    <x v="0"/>
    <x v="1"/>
    <x v="0"/>
    <n v="43"/>
    <n v="54629"/>
    <n v="6031"/>
    <x v="0"/>
    <n v="60660"/>
  </r>
  <r>
    <n v="1387"/>
    <s v="Emp_387"/>
    <x v="3"/>
    <x v="0"/>
    <x v="0"/>
    <x v="0"/>
    <n v="33"/>
    <n v="66910"/>
    <n v="15208"/>
    <x v="1"/>
    <n v="82118"/>
  </r>
  <r>
    <n v="1388"/>
    <s v="Emp_388"/>
    <x v="3"/>
    <x v="1"/>
    <x v="2"/>
    <x v="2"/>
    <n v="42"/>
    <n v="108540"/>
    <n v="5562"/>
    <x v="0"/>
    <n v="114102"/>
  </r>
  <r>
    <n v="1389"/>
    <s v="Emp_389"/>
    <x v="5"/>
    <x v="0"/>
    <x v="2"/>
    <x v="2"/>
    <n v="25"/>
    <n v="40431"/>
    <n v="15730"/>
    <x v="1"/>
    <n v="56161"/>
  </r>
  <r>
    <n v="1390"/>
    <s v="Emp_390"/>
    <x v="5"/>
    <x v="0"/>
    <x v="1"/>
    <x v="3"/>
    <n v="52"/>
    <n v="76733"/>
    <n v="21724"/>
    <x v="0"/>
    <n v="98457"/>
  </r>
  <r>
    <n v="1391"/>
    <s v="Emp_391"/>
    <x v="5"/>
    <x v="1"/>
    <x v="0"/>
    <x v="3"/>
    <n v="52"/>
    <n v="60088"/>
    <n v="25951"/>
    <x v="1"/>
    <n v="86039"/>
  </r>
  <r>
    <n v="1392"/>
    <s v="Emp_392"/>
    <x v="2"/>
    <x v="0"/>
    <x v="3"/>
    <x v="1"/>
    <n v="44"/>
    <n v="64135"/>
    <n v="21152"/>
    <x v="0"/>
    <n v="85287"/>
  </r>
  <r>
    <n v="1393"/>
    <s v="Emp_393"/>
    <x v="4"/>
    <x v="0"/>
    <x v="4"/>
    <x v="1"/>
    <n v="41"/>
    <n v="58015"/>
    <n v="18998"/>
    <x v="0"/>
    <n v="77013"/>
  </r>
  <r>
    <n v="1394"/>
    <s v="Emp_394"/>
    <x v="1"/>
    <x v="0"/>
    <x v="0"/>
    <x v="2"/>
    <n v="36"/>
    <n v="51385"/>
    <n v="29246"/>
    <x v="0"/>
    <n v="80631"/>
  </r>
  <r>
    <n v="1395"/>
    <s v="Emp_395"/>
    <x v="3"/>
    <x v="1"/>
    <x v="2"/>
    <x v="0"/>
    <n v="44"/>
    <n v="90199"/>
    <n v="23680"/>
    <x v="0"/>
    <n v="113879"/>
  </r>
  <r>
    <n v="1396"/>
    <s v="Emp_396"/>
    <x v="3"/>
    <x v="0"/>
    <x v="1"/>
    <x v="1"/>
    <n v="49"/>
    <n v="58677"/>
    <n v="21618"/>
    <x v="0"/>
    <n v="80295"/>
  </r>
  <r>
    <n v="1397"/>
    <s v="Emp_397"/>
    <x v="2"/>
    <x v="0"/>
    <x v="1"/>
    <x v="2"/>
    <n v="37"/>
    <n v="32818"/>
    <n v="26586"/>
    <x v="0"/>
    <n v="59404"/>
  </r>
  <r>
    <n v="1398"/>
    <s v="Emp_398"/>
    <x v="3"/>
    <x v="1"/>
    <x v="4"/>
    <x v="1"/>
    <n v="58"/>
    <n v="108222"/>
    <n v="14308"/>
    <x v="0"/>
    <n v="122530"/>
  </r>
  <r>
    <n v="1399"/>
    <s v="Emp_399"/>
    <x v="5"/>
    <x v="0"/>
    <x v="1"/>
    <x v="0"/>
    <n v="42"/>
    <n v="83001"/>
    <n v="14609"/>
    <x v="0"/>
    <n v="97610"/>
  </r>
  <r>
    <n v="1400"/>
    <s v="Emp_400"/>
    <x v="1"/>
    <x v="1"/>
    <x v="1"/>
    <x v="2"/>
    <n v="36"/>
    <n v="43977"/>
    <n v="22675"/>
    <x v="0"/>
    <n v="66652"/>
  </r>
  <r>
    <n v="1401"/>
    <s v="Emp_401"/>
    <x v="0"/>
    <x v="1"/>
    <x v="0"/>
    <x v="0"/>
    <n v="38"/>
    <n v="69832"/>
    <n v="26111"/>
    <x v="0"/>
    <n v="95943"/>
  </r>
  <r>
    <n v="1402"/>
    <s v="Emp_402"/>
    <x v="3"/>
    <x v="0"/>
    <x v="3"/>
    <x v="2"/>
    <n v="58"/>
    <n v="60931"/>
    <n v="13720"/>
    <x v="0"/>
    <n v="74651"/>
  </r>
  <r>
    <n v="1403"/>
    <s v="Emp_403"/>
    <x v="5"/>
    <x v="1"/>
    <x v="4"/>
    <x v="1"/>
    <n v="34"/>
    <n v="103990"/>
    <n v="15172"/>
    <x v="0"/>
    <n v="119162"/>
  </r>
  <r>
    <n v="1404"/>
    <s v="Emp_404"/>
    <x v="0"/>
    <x v="1"/>
    <x v="0"/>
    <x v="3"/>
    <n v="40"/>
    <n v="98894"/>
    <n v="19457"/>
    <x v="2"/>
    <n v="118351"/>
  </r>
  <r>
    <n v="1405"/>
    <s v="Emp_405"/>
    <x v="1"/>
    <x v="0"/>
    <x v="3"/>
    <x v="1"/>
    <n v="51"/>
    <n v="92204"/>
    <n v="7939"/>
    <x v="0"/>
    <n v="100143"/>
  </r>
  <r>
    <n v="1406"/>
    <s v="Emp_406"/>
    <x v="0"/>
    <x v="1"/>
    <x v="0"/>
    <x v="1"/>
    <n v="39"/>
    <n v="65784"/>
    <n v="19345"/>
    <x v="0"/>
    <n v="85129"/>
  </r>
  <r>
    <n v="1407"/>
    <s v="Emp_407"/>
    <x v="5"/>
    <x v="1"/>
    <x v="0"/>
    <x v="3"/>
    <n v="35"/>
    <n v="29921"/>
    <n v="21158"/>
    <x v="0"/>
    <n v="51079"/>
  </r>
  <r>
    <n v="1408"/>
    <s v="Emp_408"/>
    <x v="4"/>
    <x v="0"/>
    <x v="1"/>
    <x v="3"/>
    <n v="57"/>
    <n v="54959"/>
    <n v="10435"/>
    <x v="0"/>
    <n v="65394"/>
  </r>
  <r>
    <n v="1409"/>
    <s v="Emp_409"/>
    <x v="4"/>
    <x v="2"/>
    <x v="3"/>
    <x v="2"/>
    <n v="57"/>
    <n v="52328"/>
    <n v="28365"/>
    <x v="0"/>
    <n v="80693"/>
  </r>
  <r>
    <n v="1410"/>
    <s v="Emp_410"/>
    <x v="0"/>
    <x v="0"/>
    <x v="4"/>
    <x v="2"/>
    <n v="41"/>
    <n v="28859"/>
    <n v="10392"/>
    <x v="0"/>
    <n v="39251"/>
  </r>
  <r>
    <n v="1411"/>
    <s v="Emp_411"/>
    <x v="2"/>
    <x v="1"/>
    <x v="4"/>
    <x v="0"/>
    <n v="40"/>
    <n v="109506"/>
    <n v="12972"/>
    <x v="1"/>
    <n v="122478"/>
  </r>
  <r>
    <n v="1412"/>
    <s v="Emp_412"/>
    <x v="0"/>
    <x v="0"/>
    <x v="3"/>
    <x v="0"/>
    <n v="28"/>
    <n v="94408"/>
    <n v="22617"/>
    <x v="1"/>
    <n v="117025"/>
  </r>
  <r>
    <n v="1413"/>
    <s v="Emp_413"/>
    <x v="3"/>
    <x v="1"/>
    <x v="1"/>
    <x v="1"/>
    <n v="25"/>
    <n v="104766"/>
    <n v="24184"/>
    <x v="0"/>
    <n v="128950"/>
  </r>
  <r>
    <n v="1414"/>
    <s v="Emp_414"/>
    <x v="3"/>
    <x v="1"/>
    <x v="2"/>
    <x v="3"/>
    <n v="55"/>
    <n v="46708"/>
    <n v="19799"/>
    <x v="0"/>
    <n v="66507"/>
  </r>
  <r>
    <n v="1415"/>
    <s v="Emp_415"/>
    <x v="4"/>
    <x v="1"/>
    <x v="0"/>
    <x v="0"/>
    <n v="23"/>
    <n v="38847"/>
    <n v="24159"/>
    <x v="0"/>
    <n v="63006"/>
  </r>
  <r>
    <n v="1416"/>
    <s v="Emp_416"/>
    <x v="2"/>
    <x v="1"/>
    <x v="1"/>
    <x v="1"/>
    <n v="26"/>
    <n v="75989"/>
    <n v="20052"/>
    <x v="0"/>
    <n v="96041"/>
  </r>
  <r>
    <n v="1417"/>
    <s v="Emp_417"/>
    <x v="5"/>
    <x v="1"/>
    <x v="3"/>
    <x v="3"/>
    <n v="31"/>
    <n v="112641"/>
    <n v="11044"/>
    <x v="0"/>
    <n v="123685"/>
  </r>
  <r>
    <n v="1418"/>
    <s v="Emp_418"/>
    <x v="3"/>
    <x v="1"/>
    <x v="0"/>
    <x v="2"/>
    <n v="53"/>
    <n v="24922"/>
    <n v="24871"/>
    <x v="0"/>
    <n v="49793"/>
  </r>
  <r>
    <n v="1419"/>
    <s v="Emp_419"/>
    <x v="4"/>
    <x v="1"/>
    <x v="4"/>
    <x v="1"/>
    <n v="34"/>
    <n v="89928"/>
    <n v="28767"/>
    <x v="0"/>
    <n v="118695"/>
  </r>
  <r>
    <n v="1420"/>
    <s v="Emp_420"/>
    <x v="1"/>
    <x v="0"/>
    <x v="2"/>
    <x v="2"/>
    <n v="26"/>
    <n v="72335"/>
    <n v="19415"/>
    <x v="0"/>
    <n v="91750"/>
  </r>
  <r>
    <n v="1421"/>
    <s v="Emp_421"/>
    <x v="4"/>
    <x v="0"/>
    <x v="4"/>
    <x v="0"/>
    <n v="31"/>
    <n v="33541"/>
    <n v="25234"/>
    <x v="0"/>
    <n v="58775"/>
  </r>
  <r>
    <n v="1422"/>
    <s v="Emp_422"/>
    <x v="6"/>
    <x v="1"/>
    <x v="3"/>
    <x v="0"/>
    <n v="31"/>
    <n v="39551"/>
    <n v="26381"/>
    <x v="1"/>
    <n v="65932"/>
  </r>
  <r>
    <n v="1423"/>
    <s v="Emp_423"/>
    <x v="3"/>
    <x v="1"/>
    <x v="0"/>
    <x v="3"/>
    <n v="59"/>
    <n v="39381"/>
    <n v="22274"/>
    <x v="0"/>
    <n v="61655"/>
  </r>
  <r>
    <n v="1424"/>
    <s v="Emp_424"/>
    <x v="4"/>
    <x v="0"/>
    <x v="3"/>
    <x v="1"/>
    <n v="48"/>
    <n v="75673"/>
    <n v="18858"/>
    <x v="0"/>
    <n v="94531"/>
  </r>
  <r>
    <n v="1425"/>
    <s v="Emp_425"/>
    <x v="5"/>
    <x v="1"/>
    <x v="0"/>
    <x v="2"/>
    <n v="42"/>
    <n v="42948"/>
    <n v="27304"/>
    <x v="0"/>
    <n v="70252"/>
  </r>
  <r>
    <n v="1426"/>
    <s v="Emp_426"/>
    <x v="0"/>
    <x v="0"/>
    <x v="1"/>
    <x v="3"/>
    <n v="29"/>
    <n v="112264"/>
    <n v="22572"/>
    <x v="0"/>
    <n v="134836"/>
  </r>
  <r>
    <n v="1427"/>
    <s v="Emp_427"/>
    <x v="3"/>
    <x v="0"/>
    <x v="2"/>
    <x v="0"/>
    <n v="22"/>
    <n v="79072"/>
    <n v="10644"/>
    <x v="0"/>
    <n v="89716"/>
  </r>
  <r>
    <n v="1428"/>
    <s v="Emp_428"/>
    <x v="4"/>
    <x v="0"/>
    <x v="1"/>
    <x v="0"/>
    <n v="49"/>
    <n v="87560"/>
    <n v="22124"/>
    <x v="1"/>
    <n v="109684"/>
  </r>
  <r>
    <n v="1429"/>
    <s v="Emp_429"/>
    <x v="4"/>
    <x v="1"/>
    <x v="1"/>
    <x v="1"/>
    <n v="35"/>
    <n v="102249"/>
    <n v="22753"/>
    <x v="0"/>
    <n v="125002"/>
  </r>
  <r>
    <n v="1430"/>
    <s v="Emp_430"/>
    <x v="2"/>
    <x v="2"/>
    <x v="3"/>
    <x v="2"/>
    <n v="42"/>
    <n v="22486"/>
    <n v="23384"/>
    <x v="2"/>
    <n v="45870"/>
  </r>
  <r>
    <n v="1431"/>
    <s v="Emp_431"/>
    <x v="0"/>
    <x v="0"/>
    <x v="2"/>
    <x v="1"/>
    <n v="51"/>
    <n v="86691"/>
    <n v="22855"/>
    <x v="0"/>
    <n v="109546"/>
  </r>
  <r>
    <n v="1432"/>
    <s v="Emp_432"/>
    <x v="1"/>
    <x v="0"/>
    <x v="0"/>
    <x v="2"/>
    <n v="42"/>
    <n v="30082"/>
    <n v="22920"/>
    <x v="0"/>
    <n v="53002"/>
  </r>
  <r>
    <n v="1433"/>
    <s v="Emp_433"/>
    <x v="5"/>
    <x v="0"/>
    <x v="0"/>
    <x v="2"/>
    <n v="30"/>
    <n v="104105"/>
    <n v="21702"/>
    <x v="0"/>
    <n v="125807"/>
  </r>
  <r>
    <n v="1434"/>
    <s v="Emp_434"/>
    <x v="1"/>
    <x v="0"/>
    <x v="4"/>
    <x v="1"/>
    <n v="38"/>
    <n v="27086"/>
    <n v="10153"/>
    <x v="0"/>
    <n v="37239"/>
  </r>
  <r>
    <n v="1435"/>
    <s v="Emp_435"/>
    <x v="0"/>
    <x v="0"/>
    <x v="0"/>
    <x v="3"/>
    <n v="26"/>
    <n v="87853"/>
    <n v="6894"/>
    <x v="1"/>
    <n v="94747"/>
  </r>
  <r>
    <n v="1436"/>
    <s v="Emp_436"/>
    <x v="0"/>
    <x v="1"/>
    <x v="3"/>
    <x v="1"/>
    <n v="52"/>
    <n v="90027"/>
    <n v="12991"/>
    <x v="0"/>
    <n v="103018"/>
  </r>
  <r>
    <n v="1437"/>
    <s v="Emp_437"/>
    <x v="0"/>
    <x v="0"/>
    <x v="1"/>
    <x v="1"/>
    <n v="59"/>
    <n v="35916"/>
    <n v="20439"/>
    <x v="1"/>
    <n v="56355"/>
  </r>
  <r>
    <n v="1438"/>
    <s v="Emp_438"/>
    <x v="1"/>
    <x v="1"/>
    <x v="1"/>
    <x v="0"/>
    <n v="40"/>
    <n v="35248"/>
    <n v="14467"/>
    <x v="0"/>
    <n v="49715"/>
  </r>
  <r>
    <n v="1439"/>
    <s v="Emp_439"/>
    <x v="0"/>
    <x v="2"/>
    <x v="1"/>
    <x v="0"/>
    <n v="57"/>
    <n v="88047"/>
    <n v="29976"/>
    <x v="0"/>
    <n v="118023"/>
  </r>
  <r>
    <n v="1440"/>
    <s v="Emp_440"/>
    <x v="4"/>
    <x v="1"/>
    <x v="2"/>
    <x v="1"/>
    <n v="54"/>
    <n v="44226"/>
    <n v="10935"/>
    <x v="0"/>
    <n v="55161"/>
  </r>
  <r>
    <n v="1441"/>
    <s v="Emp_441"/>
    <x v="1"/>
    <x v="1"/>
    <x v="0"/>
    <x v="1"/>
    <n v="34"/>
    <n v="45025"/>
    <n v="22107"/>
    <x v="0"/>
    <n v="67132"/>
  </r>
  <r>
    <n v="1442"/>
    <s v="Emp_442"/>
    <x v="0"/>
    <x v="1"/>
    <x v="3"/>
    <x v="0"/>
    <n v="35"/>
    <n v="68380"/>
    <n v="7329"/>
    <x v="0"/>
    <n v="75709"/>
  </r>
  <r>
    <n v="1443"/>
    <s v="Emp_443"/>
    <x v="4"/>
    <x v="1"/>
    <x v="2"/>
    <x v="2"/>
    <n v="54"/>
    <n v="27848"/>
    <n v="14327"/>
    <x v="0"/>
    <n v="42175"/>
  </r>
  <r>
    <n v="1444"/>
    <s v="Emp_444"/>
    <x v="2"/>
    <x v="1"/>
    <x v="4"/>
    <x v="1"/>
    <n v="50"/>
    <n v="34274"/>
    <n v="7770"/>
    <x v="1"/>
    <n v="42044"/>
  </r>
  <r>
    <n v="1445"/>
    <s v="Emp_445"/>
    <x v="0"/>
    <x v="1"/>
    <x v="3"/>
    <x v="3"/>
    <n v="57"/>
    <n v="74545"/>
    <n v="28929"/>
    <x v="0"/>
    <n v="103474"/>
  </r>
  <r>
    <n v="1446"/>
    <s v="Emp_446"/>
    <x v="1"/>
    <x v="0"/>
    <x v="3"/>
    <x v="3"/>
    <n v="31"/>
    <n v="116494"/>
    <n v="9846"/>
    <x v="0"/>
    <n v="126340"/>
  </r>
  <r>
    <n v="1447"/>
    <s v="Emp_447"/>
    <x v="3"/>
    <x v="1"/>
    <x v="3"/>
    <x v="3"/>
    <n v="52"/>
    <n v="55233"/>
    <n v="21651"/>
    <x v="1"/>
    <n v="76884"/>
  </r>
  <r>
    <n v="1448"/>
    <s v="Emp_448"/>
    <x v="0"/>
    <x v="0"/>
    <x v="1"/>
    <x v="1"/>
    <n v="27"/>
    <n v="36304"/>
    <n v="21276"/>
    <x v="0"/>
    <n v="57580"/>
  </r>
  <r>
    <n v="1449"/>
    <s v="Emp_449"/>
    <x v="3"/>
    <x v="1"/>
    <x v="3"/>
    <x v="2"/>
    <n v="22"/>
    <n v="31294"/>
    <n v="19633"/>
    <x v="0"/>
    <n v="50927"/>
  </r>
  <r>
    <n v="1450"/>
    <s v="Emp_450"/>
    <x v="4"/>
    <x v="1"/>
    <x v="0"/>
    <x v="2"/>
    <n v="28"/>
    <n v="46425"/>
    <n v="18628"/>
    <x v="0"/>
    <n v="65053"/>
  </r>
  <r>
    <n v="1451"/>
    <s v="Emp_451"/>
    <x v="2"/>
    <x v="0"/>
    <x v="3"/>
    <x v="0"/>
    <n v="48"/>
    <n v="88711"/>
    <n v="5569"/>
    <x v="0"/>
    <n v="94280"/>
  </r>
  <r>
    <n v="1452"/>
    <s v="Emp_452"/>
    <x v="5"/>
    <x v="1"/>
    <x v="1"/>
    <x v="1"/>
    <n v="42"/>
    <n v="113311"/>
    <n v="6973"/>
    <x v="0"/>
    <n v="120284"/>
  </r>
  <r>
    <n v="1453"/>
    <s v="Emp_453"/>
    <x v="2"/>
    <x v="0"/>
    <x v="3"/>
    <x v="2"/>
    <n v="49"/>
    <n v="29425"/>
    <n v="7822"/>
    <x v="0"/>
    <n v="37247"/>
  </r>
  <r>
    <n v="1454"/>
    <s v="Emp_454"/>
    <x v="0"/>
    <x v="0"/>
    <x v="4"/>
    <x v="1"/>
    <n v="37"/>
    <n v="111549"/>
    <n v="25844"/>
    <x v="0"/>
    <n v="137393"/>
  </r>
  <r>
    <n v="1455"/>
    <s v="Emp_455"/>
    <x v="3"/>
    <x v="2"/>
    <x v="4"/>
    <x v="0"/>
    <n v="44"/>
    <n v="113464"/>
    <n v="5270"/>
    <x v="0"/>
    <n v="118734"/>
  </r>
  <r>
    <n v="1456"/>
    <s v="Emp_456"/>
    <x v="3"/>
    <x v="0"/>
    <x v="1"/>
    <x v="0"/>
    <n v="41"/>
    <n v="64990"/>
    <n v="21320"/>
    <x v="1"/>
    <n v="86310"/>
  </r>
  <r>
    <n v="1457"/>
    <s v="Emp_457"/>
    <x v="1"/>
    <x v="1"/>
    <x v="0"/>
    <x v="0"/>
    <n v="59"/>
    <n v="69554.53"/>
    <n v="12641"/>
    <x v="0"/>
    <n v="82195.53"/>
  </r>
  <r>
    <n v="1458"/>
    <s v="Emp_458"/>
    <x v="3"/>
    <x v="1"/>
    <x v="0"/>
    <x v="3"/>
    <n v="46"/>
    <n v="88295"/>
    <n v="13930"/>
    <x v="0"/>
    <n v="102225"/>
  </r>
  <r>
    <n v="1459"/>
    <s v="Emp_459"/>
    <x v="1"/>
    <x v="0"/>
    <x v="2"/>
    <x v="1"/>
    <n v="49"/>
    <n v="36091"/>
    <n v="11680"/>
    <x v="0"/>
    <n v="47771"/>
  </r>
  <r>
    <n v="1460"/>
    <s v="Emp_460"/>
    <x v="4"/>
    <x v="1"/>
    <x v="1"/>
    <x v="0"/>
    <n v="26"/>
    <n v="20002"/>
    <n v="6257"/>
    <x v="1"/>
    <n v="26259"/>
  </r>
  <r>
    <n v="1461"/>
    <s v="Emp_461"/>
    <x v="5"/>
    <x v="1"/>
    <x v="3"/>
    <x v="1"/>
    <n v="42"/>
    <n v="70411"/>
    <n v="13250"/>
    <x v="0"/>
    <n v="83661"/>
  </r>
  <r>
    <n v="1462"/>
    <s v="Emp_462"/>
    <x v="0"/>
    <x v="0"/>
    <x v="1"/>
    <x v="3"/>
    <n v="39"/>
    <n v="60958"/>
    <n v="10370"/>
    <x v="1"/>
    <n v="71328"/>
  </r>
  <r>
    <n v="1463"/>
    <s v="Emp_463"/>
    <x v="1"/>
    <x v="1"/>
    <x v="2"/>
    <x v="3"/>
    <n v="27"/>
    <n v="115696"/>
    <n v="9858"/>
    <x v="0"/>
    <n v="125554"/>
  </r>
  <r>
    <n v="1464"/>
    <s v="Emp_464"/>
    <x v="5"/>
    <x v="0"/>
    <x v="1"/>
    <x v="0"/>
    <n v="50"/>
    <n v="40707"/>
    <n v="13581"/>
    <x v="1"/>
    <n v="54288"/>
  </r>
  <r>
    <n v="1465"/>
    <s v="Emp_465"/>
    <x v="3"/>
    <x v="0"/>
    <x v="1"/>
    <x v="0"/>
    <n v="40"/>
    <n v="35248"/>
    <n v="18491"/>
    <x v="0"/>
    <n v="53739"/>
  </r>
  <r>
    <n v="1466"/>
    <s v="Emp_466"/>
    <x v="3"/>
    <x v="1"/>
    <x v="2"/>
    <x v="2"/>
    <n v="54"/>
    <n v="69554.53"/>
    <n v="28383"/>
    <x v="0"/>
    <n v="97937.53"/>
  </r>
  <r>
    <n v="1467"/>
    <s v="Emp_467"/>
    <x v="5"/>
    <x v="1"/>
    <x v="0"/>
    <x v="1"/>
    <n v="22"/>
    <n v="98322"/>
    <n v="17436"/>
    <x v="1"/>
    <n v="115758"/>
  </r>
  <r>
    <n v="1468"/>
    <s v="Emp_468"/>
    <x v="3"/>
    <x v="1"/>
    <x v="3"/>
    <x v="0"/>
    <n v="24"/>
    <n v="71720"/>
    <n v="17870"/>
    <x v="0"/>
    <n v="89590"/>
  </r>
  <r>
    <n v="1469"/>
    <s v="Emp_469"/>
    <x v="4"/>
    <x v="0"/>
    <x v="2"/>
    <x v="2"/>
    <n v="42"/>
    <n v="35037"/>
    <n v="21504"/>
    <x v="0"/>
    <n v="56541"/>
  </r>
  <r>
    <n v="1470"/>
    <s v="Emp_470"/>
    <x v="4"/>
    <x v="0"/>
    <x v="4"/>
    <x v="1"/>
    <n v="56"/>
    <n v="87421"/>
    <n v="11908"/>
    <x v="0"/>
    <n v="99329"/>
  </r>
  <r>
    <n v="1471"/>
    <s v="Emp_471"/>
    <x v="5"/>
    <x v="2"/>
    <x v="0"/>
    <x v="0"/>
    <n v="24"/>
    <n v="101867"/>
    <n v="15844"/>
    <x v="1"/>
    <n v="117711"/>
  </r>
  <r>
    <n v="1472"/>
    <s v="Emp_472"/>
    <x v="1"/>
    <x v="1"/>
    <x v="4"/>
    <x v="2"/>
    <n v="46"/>
    <n v="60612"/>
    <n v="23687"/>
    <x v="0"/>
    <n v="84299"/>
  </r>
  <r>
    <n v="1473"/>
    <s v="Emp_473"/>
    <x v="1"/>
    <x v="1"/>
    <x v="0"/>
    <x v="2"/>
    <n v="59"/>
    <n v="108031"/>
    <n v="9861"/>
    <x v="0"/>
    <n v="117892"/>
  </r>
  <r>
    <n v="1474"/>
    <s v="Emp_474"/>
    <x v="5"/>
    <x v="1"/>
    <x v="3"/>
    <x v="1"/>
    <n v="41"/>
    <n v="33450"/>
    <n v="7911"/>
    <x v="0"/>
    <n v="41361"/>
  </r>
  <r>
    <n v="1475"/>
    <s v="Emp_475"/>
    <x v="1"/>
    <x v="0"/>
    <x v="3"/>
    <x v="2"/>
    <n v="55"/>
    <n v="29491"/>
    <n v="13991"/>
    <x v="1"/>
    <n v="43482"/>
  </r>
  <r>
    <n v="1476"/>
    <s v="Emp_476"/>
    <x v="1"/>
    <x v="1"/>
    <x v="1"/>
    <x v="1"/>
    <n v="42"/>
    <n v="94804"/>
    <n v="16572"/>
    <x v="0"/>
    <n v="111376"/>
  </r>
  <r>
    <n v="1477"/>
    <s v="Emp_477"/>
    <x v="4"/>
    <x v="0"/>
    <x v="4"/>
    <x v="1"/>
    <n v="44"/>
    <n v="113293"/>
    <n v="15298"/>
    <x v="0"/>
    <n v="128591"/>
  </r>
  <r>
    <n v="1478"/>
    <s v="Emp_478"/>
    <x v="1"/>
    <x v="0"/>
    <x v="0"/>
    <x v="1"/>
    <n v="27"/>
    <n v="26791"/>
    <n v="12236"/>
    <x v="0"/>
    <n v="39027"/>
  </r>
  <r>
    <n v="1479"/>
    <s v="Emp_479"/>
    <x v="2"/>
    <x v="1"/>
    <x v="3"/>
    <x v="3"/>
    <n v="34"/>
    <n v="48314"/>
    <n v="10565"/>
    <x v="0"/>
    <n v="58879"/>
  </r>
  <r>
    <n v="1480"/>
    <s v="Emp_480"/>
    <x v="0"/>
    <x v="1"/>
    <x v="2"/>
    <x v="2"/>
    <n v="44"/>
    <n v="71883"/>
    <n v="27915"/>
    <x v="0"/>
    <n v="99798"/>
  </r>
  <r>
    <n v="1481"/>
    <s v="Emp_481"/>
    <x v="3"/>
    <x v="2"/>
    <x v="3"/>
    <x v="1"/>
    <n v="30"/>
    <n v="114119"/>
    <n v="22493"/>
    <x v="0"/>
    <n v="136612"/>
  </r>
  <r>
    <n v="1482"/>
    <s v="Emp_482"/>
    <x v="2"/>
    <x v="0"/>
    <x v="2"/>
    <x v="0"/>
    <n v="38"/>
    <n v="107086"/>
    <n v="11929"/>
    <x v="0"/>
    <n v="119015"/>
  </r>
  <r>
    <n v="1483"/>
    <s v="Emp_483"/>
    <x v="1"/>
    <x v="1"/>
    <x v="0"/>
    <x v="3"/>
    <n v="23"/>
    <n v="85629"/>
    <n v="22634"/>
    <x v="0"/>
    <n v="108263"/>
  </r>
  <r>
    <n v="1484"/>
    <s v="Emp_484"/>
    <x v="4"/>
    <x v="1"/>
    <x v="3"/>
    <x v="3"/>
    <n v="40"/>
    <n v="29967"/>
    <n v="29561"/>
    <x v="0"/>
    <n v="59528"/>
  </r>
  <r>
    <n v="1485"/>
    <s v="Emp_485"/>
    <x v="5"/>
    <x v="0"/>
    <x v="3"/>
    <x v="2"/>
    <n v="40"/>
    <n v="101754"/>
    <n v="23033"/>
    <x v="0"/>
    <n v="124787"/>
  </r>
  <r>
    <n v="1486"/>
    <s v="Emp_486"/>
    <x v="1"/>
    <x v="1"/>
    <x v="0"/>
    <x v="1"/>
    <n v="28"/>
    <n v="69554.53"/>
    <n v="12351"/>
    <x v="0"/>
    <n v="81905.53"/>
  </r>
  <r>
    <n v="1487"/>
    <s v="Emp_487"/>
    <x v="4"/>
    <x v="0"/>
    <x v="3"/>
    <x v="2"/>
    <n v="41"/>
    <n v="94163"/>
    <n v="27295"/>
    <x v="0"/>
    <n v="121458"/>
  </r>
  <r>
    <n v="1488"/>
    <s v="Emp_488"/>
    <x v="6"/>
    <x v="1"/>
    <x v="2"/>
    <x v="3"/>
    <n v="30"/>
    <n v="24947"/>
    <n v="24340"/>
    <x v="2"/>
    <n v="49287"/>
  </r>
  <r>
    <n v="1489"/>
    <s v="Emp_489"/>
    <x v="1"/>
    <x v="0"/>
    <x v="3"/>
    <x v="1"/>
    <n v="38"/>
    <n v="59419"/>
    <n v="19901"/>
    <x v="0"/>
    <n v="79320"/>
  </r>
  <r>
    <n v="1490"/>
    <s v="Emp_490"/>
    <x v="5"/>
    <x v="1"/>
    <x v="4"/>
    <x v="0"/>
    <n v="48"/>
    <n v="76131"/>
    <n v="15638"/>
    <x v="0"/>
    <n v="91769"/>
  </r>
  <r>
    <n v="1491"/>
    <s v="Emp_491"/>
    <x v="4"/>
    <x v="1"/>
    <x v="1"/>
    <x v="1"/>
    <n v="23"/>
    <n v="108714"/>
    <n v="10828"/>
    <x v="0"/>
    <n v="119542"/>
  </r>
  <r>
    <n v="1492"/>
    <s v="Emp_492"/>
    <x v="4"/>
    <x v="0"/>
    <x v="2"/>
    <x v="3"/>
    <n v="57"/>
    <n v="48876"/>
    <n v="26378"/>
    <x v="0"/>
    <n v="75254"/>
  </r>
  <r>
    <n v="1493"/>
    <s v="Emp_493"/>
    <x v="4"/>
    <x v="0"/>
    <x v="4"/>
    <x v="0"/>
    <n v="40"/>
    <n v="108444"/>
    <n v="16556"/>
    <x v="0"/>
    <n v="125000"/>
  </r>
  <r>
    <n v="1494"/>
    <s v="Emp_494"/>
    <x v="0"/>
    <x v="1"/>
    <x v="0"/>
    <x v="1"/>
    <n v="38"/>
    <n v="39971"/>
    <n v="27820"/>
    <x v="0"/>
    <n v="67791"/>
  </r>
  <r>
    <n v="1495"/>
    <s v="Emp_495"/>
    <x v="1"/>
    <x v="0"/>
    <x v="2"/>
    <x v="0"/>
    <n v="26"/>
    <n v="82539"/>
    <n v="28998"/>
    <x v="0"/>
    <n v="111537"/>
  </r>
  <r>
    <n v="1496"/>
    <s v="Emp_496"/>
    <x v="0"/>
    <x v="0"/>
    <x v="1"/>
    <x v="0"/>
    <n v="39"/>
    <n v="118120"/>
    <n v="23099"/>
    <x v="0"/>
    <n v="141219"/>
  </r>
  <r>
    <n v="1497"/>
    <s v="Emp_497"/>
    <x v="3"/>
    <x v="2"/>
    <x v="1"/>
    <x v="3"/>
    <n v="28"/>
    <n v="69228"/>
    <n v="13150"/>
    <x v="0"/>
    <n v="82378"/>
  </r>
  <r>
    <n v="1498"/>
    <s v="Emp_498"/>
    <x v="6"/>
    <x v="0"/>
    <x v="0"/>
    <x v="0"/>
    <n v="38"/>
    <n v="94495"/>
    <n v="15107"/>
    <x v="0"/>
    <n v="109602"/>
  </r>
  <r>
    <n v="1499"/>
    <s v="Emp_499"/>
    <x v="1"/>
    <x v="1"/>
    <x v="0"/>
    <x v="2"/>
    <n v="57"/>
    <n v="48261"/>
    <n v="24867"/>
    <x v="0"/>
    <n v="73128"/>
  </r>
  <r>
    <n v="1500"/>
    <s v="Emp_500"/>
    <x v="0"/>
    <x v="1"/>
    <x v="2"/>
    <x v="3"/>
    <n v="25"/>
    <n v="81260"/>
    <n v="29059"/>
    <x v="0"/>
    <n v="110319"/>
  </r>
  <r>
    <n v="1501"/>
    <s v="Emp_501"/>
    <x v="5"/>
    <x v="0"/>
    <x v="3"/>
    <x v="2"/>
    <n v="59"/>
    <n v="101371"/>
    <n v="6757"/>
    <x v="0"/>
    <n v="108128"/>
  </r>
  <r>
    <n v="1502"/>
    <s v="Emp_502"/>
    <x v="4"/>
    <x v="0"/>
    <x v="0"/>
    <x v="0"/>
    <n v="46"/>
    <n v="104793"/>
    <n v="23193"/>
    <x v="0"/>
    <n v="127986"/>
  </r>
  <r>
    <n v="1503"/>
    <s v="Emp_503"/>
    <x v="4"/>
    <x v="0"/>
    <x v="3"/>
    <x v="2"/>
    <n v="26"/>
    <n v="23346"/>
    <n v="26923"/>
    <x v="1"/>
    <n v="50269"/>
  </r>
  <r>
    <n v="1504"/>
    <s v="Emp_504"/>
    <x v="1"/>
    <x v="0"/>
    <x v="4"/>
    <x v="1"/>
    <n v="51"/>
    <n v="116343"/>
    <n v="27432"/>
    <x v="1"/>
    <n v="143775"/>
  </r>
  <r>
    <n v="1505"/>
    <s v="Emp_505"/>
    <x v="3"/>
    <x v="1"/>
    <x v="1"/>
    <x v="0"/>
    <n v="33"/>
    <n v="115954"/>
    <n v="16199"/>
    <x v="0"/>
    <n v="132153"/>
  </r>
  <r>
    <n v="1506"/>
    <s v="Emp_506"/>
    <x v="3"/>
    <x v="1"/>
    <x v="3"/>
    <x v="1"/>
    <n v="25"/>
    <n v="76176"/>
    <n v="21295"/>
    <x v="0"/>
    <n v="97471"/>
  </r>
  <r>
    <n v="1507"/>
    <s v="Emp_507"/>
    <x v="4"/>
    <x v="0"/>
    <x v="1"/>
    <x v="2"/>
    <n v="45"/>
    <n v="72300"/>
    <n v="17807"/>
    <x v="1"/>
    <n v="90107"/>
  </r>
  <r>
    <n v="1508"/>
    <s v="Emp_508"/>
    <x v="1"/>
    <x v="0"/>
    <x v="3"/>
    <x v="1"/>
    <n v="50"/>
    <n v="31340"/>
    <n v="22535"/>
    <x v="0"/>
    <n v="53875"/>
  </r>
  <r>
    <n v="1509"/>
    <s v="Emp_509"/>
    <x v="0"/>
    <x v="0"/>
    <x v="4"/>
    <x v="0"/>
    <n v="30"/>
    <n v="53012"/>
    <n v="10492"/>
    <x v="0"/>
    <n v="63504"/>
  </r>
  <r>
    <n v="1510"/>
    <s v="Emp_510"/>
    <x v="3"/>
    <x v="1"/>
    <x v="0"/>
    <x v="1"/>
    <n v="25"/>
    <n v="55393"/>
    <n v="28095"/>
    <x v="0"/>
    <n v="83488"/>
  </r>
  <r>
    <n v="1511"/>
    <s v="Emp_511"/>
    <x v="0"/>
    <x v="0"/>
    <x v="4"/>
    <x v="2"/>
    <n v="45"/>
    <n v="95133"/>
    <n v="11302"/>
    <x v="0"/>
    <n v="106435"/>
  </r>
  <r>
    <n v="1512"/>
    <s v="Emp_512"/>
    <x v="3"/>
    <x v="1"/>
    <x v="0"/>
    <x v="2"/>
    <n v="35"/>
    <n v="45557"/>
    <n v="20929"/>
    <x v="0"/>
    <n v="66486"/>
  </r>
  <r>
    <n v="1513"/>
    <s v="Emp_513"/>
    <x v="3"/>
    <x v="0"/>
    <x v="0"/>
    <x v="2"/>
    <n v="26"/>
    <n v="69554.53"/>
    <n v="9747"/>
    <x v="1"/>
    <n v="79301.53"/>
  </r>
  <r>
    <n v="1514"/>
    <s v="Emp_514"/>
    <x v="2"/>
    <x v="1"/>
    <x v="1"/>
    <x v="0"/>
    <n v="39"/>
    <n v="93273"/>
    <n v="19238"/>
    <x v="0"/>
    <n v="112511"/>
  </r>
  <r>
    <n v="1515"/>
    <s v="Emp_515"/>
    <x v="3"/>
    <x v="0"/>
    <x v="4"/>
    <x v="2"/>
    <n v="40"/>
    <n v="37276"/>
    <n v="13402"/>
    <x v="0"/>
    <n v="50678"/>
  </r>
  <r>
    <n v="1516"/>
    <s v="Emp_516"/>
    <x v="5"/>
    <x v="1"/>
    <x v="3"/>
    <x v="0"/>
    <n v="33"/>
    <n v="74639"/>
    <n v="15686"/>
    <x v="0"/>
    <n v="90325"/>
  </r>
  <r>
    <n v="1517"/>
    <s v="Emp_517"/>
    <x v="1"/>
    <x v="0"/>
    <x v="4"/>
    <x v="1"/>
    <n v="39"/>
    <n v="27310"/>
    <n v="9681"/>
    <x v="0"/>
    <n v="36991"/>
  </r>
  <r>
    <n v="1518"/>
    <s v="Emp_518"/>
    <x v="1"/>
    <x v="0"/>
    <x v="1"/>
    <x v="2"/>
    <n v="38"/>
    <n v="55167"/>
    <n v="23891"/>
    <x v="0"/>
    <n v="79058"/>
  </r>
  <r>
    <n v="1519"/>
    <s v="Emp_519"/>
    <x v="0"/>
    <x v="0"/>
    <x v="0"/>
    <x v="1"/>
    <n v="51"/>
    <n v="104880"/>
    <n v="24347"/>
    <x v="1"/>
    <n v="129227"/>
  </r>
  <r>
    <n v="1520"/>
    <s v="Emp_520"/>
    <x v="3"/>
    <x v="1"/>
    <x v="1"/>
    <x v="3"/>
    <n v="45"/>
    <n v="30391"/>
    <n v="8428"/>
    <x v="0"/>
    <n v="38819"/>
  </r>
  <r>
    <n v="1521"/>
    <s v="Emp_521"/>
    <x v="5"/>
    <x v="0"/>
    <x v="2"/>
    <x v="1"/>
    <n v="32"/>
    <n v="70621"/>
    <n v="12494"/>
    <x v="0"/>
    <n v="83115"/>
  </r>
  <r>
    <n v="1522"/>
    <s v="Emp_522"/>
    <x v="0"/>
    <x v="1"/>
    <x v="2"/>
    <x v="3"/>
    <n v="56"/>
    <n v="30892"/>
    <n v="8955"/>
    <x v="0"/>
    <n v="39847"/>
  </r>
  <r>
    <n v="1523"/>
    <s v="Emp_523"/>
    <x v="2"/>
    <x v="2"/>
    <x v="3"/>
    <x v="1"/>
    <n v="44"/>
    <n v="96733"/>
    <n v="25089"/>
    <x v="0"/>
    <n v="121822"/>
  </r>
  <r>
    <n v="1524"/>
    <s v="Emp_524"/>
    <x v="0"/>
    <x v="0"/>
    <x v="1"/>
    <x v="0"/>
    <n v="38"/>
    <n v="98586"/>
    <n v="19026"/>
    <x v="1"/>
    <n v="117612"/>
  </r>
  <r>
    <n v="1525"/>
    <s v="Emp_525"/>
    <x v="0"/>
    <x v="0"/>
    <x v="3"/>
    <x v="1"/>
    <n v="22"/>
    <n v="56142"/>
    <n v="25422"/>
    <x v="0"/>
    <n v="81564"/>
  </r>
  <r>
    <n v="1526"/>
    <s v="Emp_526"/>
    <x v="3"/>
    <x v="0"/>
    <x v="3"/>
    <x v="0"/>
    <n v="36"/>
    <n v="65679"/>
    <n v="14244"/>
    <x v="1"/>
    <n v="79923"/>
  </r>
  <r>
    <n v="1527"/>
    <s v="Emp_527"/>
    <x v="2"/>
    <x v="1"/>
    <x v="2"/>
    <x v="0"/>
    <n v="53"/>
    <n v="61615"/>
    <n v="5713"/>
    <x v="0"/>
    <n v="67328"/>
  </r>
  <r>
    <n v="1528"/>
    <s v="Emp_528"/>
    <x v="0"/>
    <x v="0"/>
    <x v="3"/>
    <x v="2"/>
    <n v="30"/>
    <n v="67553"/>
    <n v="28644"/>
    <x v="1"/>
    <n v="96197"/>
  </r>
  <r>
    <n v="1529"/>
    <s v="Emp_529"/>
    <x v="5"/>
    <x v="1"/>
    <x v="2"/>
    <x v="0"/>
    <n v="36"/>
    <n v="99071"/>
    <n v="16080"/>
    <x v="0"/>
    <n v="115151"/>
  </r>
  <r>
    <n v="1530"/>
    <s v="Emp_530"/>
    <x v="5"/>
    <x v="1"/>
    <x v="0"/>
    <x v="3"/>
    <n v="49"/>
    <n v="61002"/>
    <n v="28395"/>
    <x v="1"/>
    <n v="89397"/>
  </r>
  <r>
    <n v="1531"/>
    <s v="Emp_531"/>
    <x v="1"/>
    <x v="0"/>
    <x v="1"/>
    <x v="2"/>
    <n v="45"/>
    <n v="90658"/>
    <n v="13521"/>
    <x v="1"/>
    <n v="104179"/>
  </r>
  <r>
    <n v="1532"/>
    <s v="Emp_532"/>
    <x v="2"/>
    <x v="0"/>
    <x v="3"/>
    <x v="2"/>
    <n v="56"/>
    <n v="29852"/>
    <n v="6746"/>
    <x v="0"/>
    <n v="36598"/>
  </r>
  <r>
    <n v="1533"/>
    <s v="Emp_533"/>
    <x v="2"/>
    <x v="0"/>
    <x v="2"/>
    <x v="1"/>
    <n v="43"/>
    <n v="25387"/>
    <n v="22591"/>
    <x v="0"/>
    <n v="47978"/>
  </r>
  <r>
    <n v="1534"/>
    <s v="Emp_534"/>
    <x v="1"/>
    <x v="0"/>
    <x v="4"/>
    <x v="0"/>
    <n v="48"/>
    <n v="117295"/>
    <n v="22168"/>
    <x v="1"/>
    <n v="139463"/>
  </r>
  <r>
    <n v="1535"/>
    <s v="Emp_535"/>
    <x v="6"/>
    <x v="0"/>
    <x v="3"/>
    <x v="0"/>
    <n v="40"/>
    <n v="59994"/>
    <n v="7696"/>
    <x v="1"/>
    <n v="67690"/>
  </r>
  <r>
    <n v="1536"/>
    <s v="Emp_536"/>
    <x v="2"/>
    <x v="0"/>
    <x v="0"/>
    <x v="3"/>
    <n v="33"/>
    <n v="53725"/>
    <n v="17012"/>
    <x v="1"/>
    <n v="70737"/>
  </r>
  <r>
    <n v="1537"/>
    <s v="Emp_537"/>
    <x v="5"/>
    <x v="1"/>
    <x v="0"/>
    <x v="1"/>
    <n v="41"/>
    <n v="92682"/>
    <n v="19688"/>
    <x v="0"/>
    <n v="112370"/>
  </r>
  <r>
    <n v="1538"/>
    <s v="Emp_538"/>
    <x v="5"/>
    <x v="1"/>
    <x v="4"/>
    <x v="1"/>
    <n v="22"/>
    <n v="20560"/>
    <n v="28457"/>
    <x v="0"/>
    <n v="49017"/>
  </r>
  <r>
    <n v="1539"/>
    <s v="Emp_539"/>
    <x v="3"/>
    <x v="1"/>
    <x v="2"/>
    <x v="2"/>
    <n v="42"/>
    <n v="76565"/>
    <n v="10036"/>
    <x v="1"/>
    <n v="86601"/>
  </r>
  <r>
    <n v="1540"/>
    <s v="Emp_540"/>
    <x v="5"/>
    <x v="0"/>
    <x v="3"/>
    <x v="2"/>
    <n v="22"/>
    <n v="21312"/>
    <n v="12127"/>
    <x v="0"/>
    <n v="33439"/>
  </r>
  <r>
    <n v="1541"/>
    <s v="Emp_541"/>
    <x v="0"/>
    <x v="1"/>
    <x v="2"/>
    <x v="2"/>
    <n v="31"/>
    <n v="38205"/>
    <n v="8718"/>
    <x v="0"/>
    <n v="46923"/>
  </r>
  <r>
    <n v="1542"/>
    <s v="Emp_542"/>
    <x v="1"/>
    <x v="1"/>
    <x v="0"/>
    <x v="3"/>
    <n v="53"/>
    <n v="31595"/>
    <n v="27159"/>
    <x v="0"/>
    <n v="58754"/>
  </r>
  <r>
    <n v="1543"/>
    <s v="Emp_543"/>
    <x v="1"/>
    <x v="1"/>
    <x v="2"/>
    <x v="3"/>
    <n v="43"/>
    <n v="107566"/>
    <n v="12910"/>
    <x v="0"/>
    <n v="120476"/>
  </r>
  <r>
    <n v="1544"/>
    <s v="Emp_544"/>
    <x v="0"/>
    <x v="1"/>
    <x v="0"/>
    <x v="2"/>
    <n v="39"/>
    <n v="69554.53"/>
    <n v="7693"/>
    <x v="0"/>
    <n v="77247.53"/>
  </r>
  <r>
    <n v="1545"/>
    <s v="Emp_545"/>
    <x v="4"/>
    <x v="1"/>
    <x v="2"/>
    <x v="1"/>
    <n v="53"/>
    <n v="88187"/>
    <n v="22009"/>
    <x v="1"/>
    <n v="110196"/>
  </r>
  <r>
    <n v="1546"/>
    <s v="Emp_546"/>
    <x v="3"/>
    <x v="0"/>
    <x v="4"/>
    <x v="3"/>
    <n v="48"/>
    <n v="95542"/>
    <n v="20858"/>
    <x v="0"/>
    <n v="116400"/>
  </r>
  <r>
    <n v="1547"/>
    <s v="Emp_547"/>
    <x v="1"/>
    <x v="0"/>
    <x v="1"/>
    <x v="1"/>
    <n v="49"/>
    <n v="55645"/>
    <n v="25092"/>
    <x v="0"/>
    <n v="80737"/>
  </r>
  <r>
    <n v="1548"/>
    <s v="Emp_548"/>
    <x v="2"/>
    <x v="1"/>
    <x v="4"/>
    <x v="1"/>
    <n v="39"/>
    <n v="69554.53"/>
    <n v="28243"/>
    <x v="0"/>
    <n v="97797.53"/>
  </r>
  <r>
    <n v="1549"/>
    <s v="Emp_549"/>
    <x v="3"/>
    <x v="1"/>
    <x v="4"/>
    <x v="0"/>
    <n v="50"/>
    <n v="113382"/>
    <n v="20932"/>
    <x v="0"/>
    <n v="134314"/>
  </r>
  <r>
    <n v="1550"/>
    <s v="Emp_550"/>
    <x v="2"/>
    <x v="1"/>
    <x v="1"/>
    <x v="2"/>
    <n v="39"/>
    <n v="107310"/>
    <n v="12692"/>
    <x v="0"/>
    <n v="120002"/>
  </r>
  <r>
    <n v="1551"/>
    <s v="Emp_551"/>
    <x v="5"/>
    <x v="0"/>
    <x v="1"/>
    <x v="0"/>
    <n v="29"/>
    <n v="89619"/>
    <n v="11398"/>
    <x v="0"/>
    <n v="101017"/>
  </r>
  <r>
    <n v="1552"/>
    <s v="Emp_552"/>
    <x v="3"/>
    <x v="0"/>
    <x v="3"/>
    <x v="2"/>
    <n v="52"/>
    <n v="53513"/>
    <n v="12252"/>
    <x v="0"/>
    <n v="65765"/>
  </r>
  <r>
    <n v="1553"/>
    <s v="Emp_553"/>
    <x v="1"/>
    <x v="1"/>
    <x v="3"/>
    <x v="2"/>
    <n v="55"/>
    <n v="28749"/>
    <n v="16721"/>
    <x v="0"/>
    <n v="45470"/>
  </r>
  <r>
    <n v="1554"/>
    <s v="Emp_554"/>
    <x v="6"/>
    <x v="0"/>
    <x v="4"/>
    <x v="1"/>
    <n v="28"/>
    <n v="50783"/>
    <n v="22939"/>
    <x v="0"/>
    <n v="73722"/>
  </r>
  <r>
    <n v="1555"/>
    <s v="Emp_555"/>
    <x v="3"/>
    <x v="0"/>
    <x v="4"/>
    <x v="2"/>
    <n v="57"/>
    <n v="80645"/>
    <n v="16825"/>
    <x v="1"/>
    <n v="97470"/>
  </r>
  <r>
    <n v="1556"/>
    <s v="Emp_556"/>
    <x v="3"/>
    <x v="1"/>
    <x v="0"/>
    <x v="1"/>
    <n v="39"/>
    <n v="102861"/>
    <n v="9187"/>
    <x v="0"/>
    <n v="112048"/>
  </r>
  <r>
    <n v="1557"/>
    <s v="Emp_557"/>
    <x v="4"/>
    <x v="0"/>
    <x v="0"/>
    <x v="1"/>
    <n v="59"/>
    <n v="73175"/>
    <n v="29151"/>
    <x v="0"/>
    <n v="102326"/>
  </r>
  <r>
    <n v="1558"/>
    <s v="Emp_558"/>
    <x v="2"/>
    <x v="0"/>
    <x v="3"/>
    <x v="2"/>
    <n v="30"/>
    <n v="104216"/>
    <n v="5036"/>
    <x v="1"/>
    <n v="109252"/>
  </r>
  <r>
    <n v="1559"/>
    <s v="Emp_559"/>
    <x v="2"/>
    <x v="1"/>
    <x v="3"/>
    <x v="1"/>
    <n v="30"/>
    <n v="82709"/>
    <n v="23171"/>
    <x v="1"/>
    <n v="105880"/>
  </r>
  <r>
    <n v="1560"/>
    <s v="Emp_560"/>
    <x v="5"/>
    <x v="0"/>
    <x v="0"/>
    <x v="1"/>
    <n v="29"/>
    <n v="37323"/>
    <n v="11283"/>
    <x v="0"/>
    <n v="48606"/>
  </r>
  <r>
    <n v="1561"/>
    <s v="Emp_561"/>
    <x v="0"/>
    <x v="0"/>
    <x v="0"/>
    <x v="1"/>
    <n v="56"/>
    <n v="70762"/>
    <n v="20202"/>
    <x v="0"/>
    <n v="90964"/>
  </r>
  <r>
    <n v="1562"/>
    <s v="Emp_562"/>
    <x v="3"/>
    <x v="1"/>
    <x v="2"/>
    <x v="3"/>
    <n v="39"/>
    <n v="108220"/>
    <n v="13060"/>
    <x v="0"/>
    <n v="121280"/>
  </r>
  <r>
    <n v="1563"/>
    <s v="Emp_563"/>
    <x v="1"/>
    <x v="0"/>
    <x v="2"/>
    <x v="1"/>
    <n v="26"/>
    <n v="84222"/>
    <n v="13065"/>
    <x v="1"/>
    <n v="97287"/>
  </r>
  <r>
    <n v="1564"/>
    <s v="Emp_564"/>
    <x v="3"/>
    <x v="0"/>
    <x v="0"/>
    <x v="3"/>
    <n v="35"/>
    <n v="54493"/>
    <n v="8880"/>
    <x v="0"/>
    <n v="63373"/>
  </r>
  <r>
    <n v="1565"/>
    <s v="Emp_565"/>
    <x v="1"/>
    <x v="1"/>
    <x v="2"/>
    <x v="3"/>
    <n v="49"/>
    <n v="78328"/>
    <n v="10932"/>
    <x v="0"/>
    <n v="89260"/>
  </r>
  <r>
    <n v="1566"/>
    <s v="Emp_566"/>
    <x v="2"/>
    <x v="1"/>
    <x v="1"/>
    <x v="1"/>
    <n v="51"/>
    <n v="32213"/>
    <n v="13328"/>
    <x v="0"/>
    <n v="45541"/>
  </r>
  <r>
    <n v="1567"/>
    <s v="Emp_567"/>
    <x v="1"/>
    <x v="1"/>
    <x v="3"/>
    <x v="1"/>
    <n v="25"/>
    <n v="117367"/>
    <n v="11333"/>
    <x v="0"/>
    <n v="128700"/>
  </r>
  <r>
    <n v="1568"/>
    <s v="Emp_568"/>
    <x v="0"/>
    <x v="0"/>
    <x v="3"/>
    <x v="3"/>
    <n v="41"/>
    <n v="66930"/>
    <n v="27143"/>
    <x v="0"/>
    <n v="94073"/>
  </r>
  <r>
    <n v="1569"/>
    <s v="Emp_569"/>
    <x v="5"/>
    <x v="1"/>
    <x v="0"/>
    <x v="3"/>
    <n v="46"/>
    <n v="47713"/>
    <n v="27869"/>
    <x v="0"/>
    <n v="75582"/>
  </r>
  <r>
    <n v="1570"/>
    <s v="Emp_570"/>
    <x v="1"/>
    <x v="0"/>
    <x v="4"/>
    <x v="1"/>
    <n v="49"/>
    <n v="92723"/>
    <n v="18870"/>
    <x v="0"/>
    <n v="111593"/>
  </r>
  <r>
    <n v="1571"/>
    <s v="Emp_571"/>
    <x v="1"/>
    <x v="1"/>
    <x v="0"/>
    <x v="1"/>
    <n v="33"/>
    <n v="118336"/>
    <n v="16268"/>
    <x v="0"/>
    <n v="134604"/>
  </r>
  <r>
    <n v="1572"/>
    <s v="Emp_572"/>
    <x v="5"/>
    <x v="0"/>
    <x v="2"/>
    <x v="2"/>
    <n v="23"/>
    <n v="52583"/>
    <n v="10067"/>
    <x v="0"/>
    <n v="62650"/>
  </r>
  <r>
    <n v="1573"/>
    <s v="Emp_573"/>
    <x v="0"/>
    <x v="1"/>
    <x v="4"/>
    <x v="3"/>
    <n v="35"/>
    <n v="99944"/>
    <n v="20616"/>
    <x v="0"/>
    <n v="120560"/>
  </r>
  <r>
    <n v="1574"/>
    <s v="Emp_574"/>
    <x v="3"/>
    <x v="1"/>
    <x v="2"/>
    <x v="3"/>
    <n v="43"/>
    <n v="42369"/>
    <n v="17075"/>
    <x v="0"/>
    <n v="59444"/>
  </r>
  <r>
    <n v="1575"/>
    <s v="Emp_575"/>
    <x v="1"/>
    <x v="1"/>
    <x v="1"/>
    <x v="2"/>
    <n v="52"/>
    <n v="67928"/>
    <n v="22045"/>
    <x v="0"/>
    <n v="89973"/>
  </r>
  <r>
    <n v="1576"/>
    <s v="Emp_576"/>
    <x v="5"/>
    <x v="1"/>
    <x v="2"/>
    <x v="3"/>
    <n v="44"/>
    <n v="88950"/>
    <n v="12973"/>
    <x v="1"/>
    <n v="101923"/>
  </r>
  <r>
    <n v="1577"/>
    <s v="Emp_577"/>
    <x v="2"/>
    <x v="0"/>
    <x v="1"/>
    <x v="0"/>
    <n v="41"/>
    <n v="39510"/>
    <n v="27770"/>
    <x v="0"/>
    <n v="67280"/>
  </r>
  <r>
    <n v="1578"/>
    <s v="Emp_578"/>
    <x v="5"/>
    <x v="1"/>
    <x v="1"/>
    <x v="3"/>
    <n v="59"/>
    <n v="32120"/>
    <n v="15002"/>
    <x v="0"/>
    <n v="47122"/>
  </r>
  <r>
    <n v="1579"/>
    <s v="Emp_579"/>
    <x v="2"/>
    <x v="1"/>
    <x v="2"/>
    <x v="2"/>
    <n v="25"/>
    <n v="119847"/>
    <n v="12887"/>
    <x v="0"/>
    <n v="132734"/>
  </r>
  <r>
    <n v="1580"/>
    <s v="Emp_580"/>
    <x v="0"/>
    <x v="0"/>
    <x v="2"/>
    <x v="0"/>
    <n v="36"/>
    <n v="118575"/>
    <n v="5414"/>
    <x v="0"/>
    <n v="123989"/>
  </r>
  <r>
    <n v="1581"/>
    <s v="Emp_581"/>
    <x v="3"/>
    <x v="1"/>
    <x v="1"/>
    <x v="1"/>
    <n v="45"/>
    <n v="25295"/>
    <n v="11850"/>
    <x v="1"/>
    <n v="37145"/>
  </r>
  <r>
    <n v="1582"/>
    <s v="Emp_582"/>
    <x v="5"/>
    <x v="0"/>
    <x v="4"/>
    <x v="2"/>
    <n v="46"/>
    <n v="40460"/>
    <n v="29918"/>
    <x v="1"/>
    <n v="70378"/>
  </r>
  <r>
    <n v="1583"/>
    <s v="Emp_583"/>
    <x v="4"/>
    <x v="1"/>
    <x v="1"/>
    <x v="2"/>
    <n v="22"/>
    <n v="34963"/>
    <n v="7729"/>
    <x v="0"/>
    <n v="42692"/>
  </r>
  <r>
    <n v="1584"/>
    <s v="Emp_584"/>
    <x v="1"/>
    <x v="1"/>
    <x v="3"/>
    <x v="1"/>
    <n v="28"/>
    <n v="97116"/>
    <n v="16929"/>
    <x v="0"/>
    <n v="114045"/>
  </r>
  <r>
    <n v="1585"/>
    <s v="Emp_585"/>
    <x v="0"/>
    <x v="1"/>
    <x v="1"/>
    <x v="2"/>
    <n v="52"/>
    <n v="107822"/>
    <n v="19988"/>
    <x v="1"/>
    <n v="127810"/>
  </r>
  <r>
    <n v="1586"/>
    <s v="Emp_586"/>
    <x v="5"/>
    <x v="0"/>
    <x v="4"/>
    <x v="3"/>
    <n v="33"/>
    <n v="47328"/>
    <n v="8897"/>
    <x v="0"/>
    <n v="56225"/>
  </r>
  <r>
    <n v="1587"/>
    <s v="Emp_587"/>
    <x v="1"/>
    <x v="1"/>
    <x v="3"/>
    <x v="1"/>
    <n v="26"/>
    <n v="104629"/>
    <n v="7169"/>
    <x v="0"/>
    <n v="111798"/>
  </r>
  <r>
    <n v="1588"/>
    <s v="Emp_588"/>
    <x v="5"/>
    <x v="1"/>
    <x v="0"/>
    <x v="2"/>
    <n v="59"/>
    <n v="41605"/>
    <n v="18563"/>
    <x v="0"/>
    <n v="60168"/>
  </r>
  <r>
    <n v="1589"/>
    <s v="Emp_589"/>
    <x v="2"/>
    <x v="1"/>
    <x v="0"/>
    <x v="1"/>
    <n v="33"/>
    <n v="64813"/>
    <n v="23262"/>
    <x v="0"/>
    <n v="88075"/>
  </r>
  <r>
    <n v="1590"/>
    <s v="Emp_590"/>
    <x v="5"/>
    <x v="0"/>
    <x v="4"/>
    <x v="1"/>
    <n v="39"/>
    <n v="66371"/>
    <n v="27838"/>
    <x v="0"/>
    <n v="94209"/>
  </r>
  <r>
    <n v="1591"/>
    <s v="Emp_591"/>
    <x v="4"/>
    <x v="0"/>
    <x v="1"/>
    <x v="1"/>
    <n v="23"/>
    <n v="67598"/>
    <n v="17888"/>
    <x v="0"/>
    <n v="85486"/>
  </r>
  <r>
    <n v="1592"/>
    <s v="Emp_592"/>
    <x v="5"/>
    <x v="1"/>
    <x v="2"/>
    <x v="0"/>
    <n v="31"/>
    <n v="80776"/>
    <n v="9570"/>
    <x v="0"/>
    <n v="90346"/>
  </r>
  <r>
    <n v="1593"/>
    <s v="Emp_593"/>
    <x v="5"/>
    <x v="0"/>
    <x v="4"/>
    <x v="2"/>
    <n v="36"/>
    <n v="92258"/>
    <n v="6515"/>
    <x v="1"/>
    <n v="98773"/>
  </r>
  <r>
    <n v="1594"/>
    <s v="Emp_594"/>
    <x v="4"/>
    <x v="1"/>
    <x v="3"/>
    <x v="0"/>
    <n v="51"/>
    <n v="60969"/>
    <n v="21958"/>
    <x v="0"/>
    <n v="82927"/>
  </r>
  <r>
    <n v="1595"/>
    <s v="Emp_595"/>
    <x v="0"/>
    <x v="1"/>
    <x v="3"/>
    <x v="2"/>
    <n v="38"/>
    <n v="56912"/>
    <n v="17634"/>
    <x v="1"/>
    <n v="74546"/>
  </r>
  <r>
    <n v="1596"/>
    <s v="Emp_596"/>
    <x v="5"/>
    <x v="1"/>
    <x v="0"/>
    <x v="3"/>
    <n v="25"/>
    <n v="58374"/>
    <n v="24251"/>
    <x v="1"/>
    <n v="82625"/>
  </r>
  <r>
    <n v="1597"/>
    <s v="Emp_597"/>
    <x v="4"/>
    <x v="1"/>
    <x v="3"/>
    <x v="3"/>
    <n v="28"/>
    <n v="92302"/>
    <n v="18798"/>
    <x v="0"/>
    <n v="111100"/>
  </r>
  <r>
    <n v="1598"/>
    <s v="Emp_598"/>
    <x v="1"/>
    <x v="1"/>
    <x v="4"/>
    <x v="3"/>
    <n v="52"/>
    <n v="82784"/>
    <n v="24928"/>
    <x v="0"/>
    <n v="107712"/>
  </r>
  <r>
    <n v="1599"/>
    <s v="Emp_599"/>
    <x v="2"/>
    <x v="1"/>
    <x v="3"/>
    <x v="2"/>
    <n v="55"/>
    <n v="69882"/>
    <n v="9477"/>
    <x v="0"/>
    <n v="79359"/>
  </r>
  <r>
    <n v="1600"/>
    <s v="Emp_600"/>
    <x v="2"/>
    <x v="1"/>
    <x v="4"/>
    <x v="1"/>
    <n v="27"/>
    <n v="35928"/>
    <n v="21455"/>
    <x v="0"/>
    <n v="57383"/>
  </r>
  <r>
    <n v="1601"/>
    <s v="Emp_601"/>
    <x v="5"/>
    <x v="0"/>
    <x v="2"/>
    <x v="1"/>
    <n v="59"/>
    <n v="41274"/>
    <n v="24364"/>
    <x v="0"/>
    <n v="65638"/>
  </r>
  <r>
    <n v="1602"/>
    <s v="Emp_602"/>
    <x v="0"/>
    <x v="0"/>
    <x v="0"/>
    <x v="0"/>
    <n v="55"/>
    <n v="54416"/>
    <n v="26876"/>
    <x v="0"/>
    <n v="81292"/>
  </r>
  <r>
    <n v="1603"/>
    <s v="Emp_603"/>
    <x v="0"/>
    <x v="0"/>
    <x v="3"/>
    <x v="0"/>
    <n v="36"/>
    <n v="106148"/>
    <n v="14551"/>
    <x v="0"/>
    <n v="120699"/>
  </r>
  <r>
    <n v="1604"/>
    <s v="Emp_604"/>
    <x v="1"/>
    <x v="0"/>
    <x v="4"/>
    <x v="3"/>
    <n v="35"/>
    <n v="80998"/>
    <n v="26143"/>
    <x v="0"/>
    <n v="107141"/>
  </r>
  <r>
    <n v="1605"/>
    <s v="Emp_605"/>
    <x v="5"/>
    <x v="0"/>
    <x v="1"/>
    <x v="0"/>
    <n v="27"/>
    <n v="49047"/>
    <n v="29468"/>
    <x v="1"/>
    <n v="78515"/>
  </r>
  <r>
    <n v="1606"/>
    <s v="Emp_606"/>
    <x v="2"/>
    <x v="0"/>
    <x v="0"/>
    <x v="2"/>
    <n v="58"/>
    <n v="63356"/>
    <n v="19179"/>
    <x v="0"/>
    <n v="82535"/>
  </r>
  <r>
    <n v="1607"/>
    <s v="Emp_607"/>
    <x v="0"/>
    <x v="0"/>
    <x v="2"/>
    <x v="2"/>
    <n v="53"/>
    <n v="57134"/>
    <n v="5039"/>
    <x v="0"/>
    <n v="62173"/>
  </r>
  <r>
    <n v="1608"/>
    <s v="Emp_608"/>
    <x v="5"/>
    <x v="1"/>
    <x v="4"/>
    <x v="0"/>
    <n v="24"/>
    <n v="87042"/>
    <n v="15222"/>
    <x v="0"/>
    <n v="102264"/>
  </r>
  <r>
    <n v="1609"/>
    <s v="Emp_609"/>
    <x v="0"/>
    <x v="1"/>
    <x v="2"/>
    <x v="0"/>
    <n v="24"/>
    <n v="71310"/>
    <n v="26757"/>
    <x v="0"/>
    <n v="98067"/>
  </r>
  <r>
    <n v="1610"/>
    <s v="Emp_610"/>
    <x v="4"/>
    <x v="1"/>
    <x v="2"/>
    <x v="0"/>
    <n v="43"/>
    <n v="100758"/>
    <n v="28949"/>
    <x v="2"/>
    <n v="129707"/>
  </r>
  <r>
    <n v="1611"/>
    <s v="Emp_611"/>
    <x v="0"/>
    <x v="1"/>
    <x v="3"/>
    <x v="0"/>
    <n v="43"/>
    <n v="32363"/>
    <n v="21116"/>
    <x v="0"/>
    <n v="53479"/>
  </r>
  <r>
    <n v="1612"/>
    <s v="Emp_612"/>
    <x v="2"/>
    <x v="0"/>
    <x v="3"/>
    <x v="3"/>
    <n v="31"/>
    <n v="105149"/>
    <n v="23284"/>
    <x v="0"/>
    <n v="128433"/>
  </r>
  <r>
    <n v="1613"/>
    <s v="Emp_613"/>
    <x v="3"/>
    <x v="0"/>
    <x v="4"/>
    <x v="3"/>
    <n v="24"/>
    <n v="64563"/>
    <n v="23601"/>
    <x v="0"/>
    <n v="88164"/>
  </r>
  <r>
    <n v="1614"/>
    <s v="Emp_614"/>
    <x v="1"/>
    <x v="1"/>
    <x v="1"/>
    <x v="0"/>
    <n v="33"/>
    <n v="50628"/>
    <n v="21049"/>
    <x v="2"/>
    <n v="71677"/>
  </r>
  <r>
    <n v="1615"/>
    <s v="Emp_615"/>
    <x v="1"/>
    <x v="1"/>
    <x v="4"/>
    <x v="2"/>
    <n v="50"/>
    <n v="89672"/>
    <n v="9796"/>
    <x v="0"/>
    <n v="99468"/>
  </r>
  <r>
    <n v="1616"/>
    <s v="Emp_616"/>
    <x v="2"/>
    <x v="0"/>
    <x v="1"/>
    <x v="3"/>
    <n v="38"/>
    <n v="66246"/>
    <n v="9606"/>
    <x v="0"/>
    <n v="75852"/>
  </r>
  <r>
    <n v="1617"/>
    <s v="Emp_617"/>
    <x v="0"/>
    <x v="1"/>
    <x v="2"/>
    <x v="2"/>
    <n v="28"/>
    <n v="31161"/>
    <n v="22667"/>
    <x v="0"/>
    <n v="53828"/>
  </r>
  <r>
    <n v="1618"/>
    <s v="Emp_618"/>
    <x v="5"/>
    <x v="1"/>
    <x v="0"/>
    <x v="1"/>
    <n v="34"/>
    <n v="109110"/>
    <n v="13775"/>
    <x v="0"/>
    <n v="122885"/>
  </r>
  <r>
    <n v="1619"/>
    <s v="Emp_619"/>
    <x v="0"/>
    <x v="1"/>
    <x v="4"/>
    <x v="2"/>
    <n v="23"/>
    <n v="112438"/>
    <n v="19864"/>
    <x v="0"/>
    <n v="132302"/>
  </r>
  <r>
    <n v="1620"/>
    <s v="Emp_620"/>
    <x v="2"/>
    <x v="1"/>
    <x v="4"/>
    <x v="0"/>
    <n v="25"/>
    <n v="22810"/>
    <n v="19193"/>
    <x v="1"/>
    <n v="42003"/>
  </r>
  <r>
    <n v="1621"/>
    <s v="Emp_621"/>
    <x v="1"/>
    <x v="0"/>
    <x v="1"/>
    <x v="1"/>
    <n v="31"/>
    <n v="79860"/>
    <n v="19676"/>
    <x v="0"/>
    <n v="99536"/>
  </r>
  <r>
    <n v="1622"/>
    <s v="Emp_622"/>
    <x v="0"/>
    <x v="1"/>
    <x v="2"/>
    <x v="3"/>
    <n v="45"/>
    <n v="97199"/>
    <n v="15457"/>
    <x v="0"/>
    <n v="112656"/>
  </r>
  <r>
    <n v="1623"/>
    <s v="Emp_623"/>
    <x v="1"/>
    <x v="1"/>
    <x v="2"/>
    <x v="3"/>
    <n v="38"/>
    <n v="91688"/>
    <n v="22199"/>
    <x v="0"/>
    <n v="113887"/>
  </r>
  <r>
    <n v="1624"/>
    <s v="Emp_624"/>
    <x v="5"/>
    <x v="0"/>
    <x v="1"/>
    <x v="1"/>
    <n v="27"/>
    <n v="85548"/>
    <n v="21044"/>
    <x v="0"/>
    <n v="106592"/>
  </r>
  <r>
    <n v="1625"/>
    <s v="Emp_625"/>
    <x v="1"/>
    <x v="0"/>
    <x v="2"/>
    <x v="2"/>
    <n v="40"/>
    <n v="82363"/>
    <n v="20066"/>
    <x v="0"/>
    <n v="102429"/>
  </r>
  <r>
    <n v="1626"/>
    <s v="Emp_626"/>
    <x v="1"/>
    <x v="1"/>
    <x v="3"/>
    <x v="3"/>
    <n v="26"/>
    <n v="31162"/>
    <n v="23895"/>
    <x v="0"/>
    <n v="55057"/>
  </r>
  <r>
    <n v="1627"/>
    <s v="Emp_627"/>
    <x v="3"/>
    <x v="0"/>
    <x v="0"/>
    <x v="0"/>
    <n v="53"/>
    <n v="107858"/>
    <n v="5246"/>
    <x v="0"/>
    <n v="113104"/>
  </r>
  <r>
    <n v="1628"/>
    <s v="Emp_628"/>
    <x v="3"/>
    <x v="1"/>
    <x v="4"/>
    <x v="1"/>
    <n v="31"/>
    <n v="93535"/>
    <n v="26209"/>
    <x v="0"/>
    <n v="119744"/>
  </r>
  <r>
    <n v="1629"/>
    <s v="Emp_629"/>
    <x v="4"/>
    <x v="1"/>
    <x v="0"/>
    <x v="0"/>
    <n v="30"/>
    <n v="69554.53"/>
    <n v="11516"/>
    <x v="0"/>
    <n v="81070.53"/>
  </r>
  <r>
    <n v="1630"/>
    <s v="Emp_630"/>
    <x v="3"/>
    <x v="0"/>
    <x v="4"/>
    <x v="1"/>
    <n v="48"/>
    <n v="90864"/>
    <n v="21800"/>
    <x v="0"/>
    <n v="112664"/>
  </r>
  <r>
    <n v="1631"/>
    <s v="Emp_631"/>
    <x v="1"/>
    <x v="1"/>
    <x v="3"/>
    <x v="3"/>
    <n v="34"/>
    <n v="23621"/>
    <n v="18342"/>
    <x v="0"/>
    <n v="41963"/>
  </r>
  <r>
    <n v="1632"/>
    <s v="Emp_632"/>
    <x v="2"/>
    <x v="1"/>
    <x v="2"/>
    <x v="2"/>
    <n v="40"/>
    <n v="109792"/>
    <n v="28086"/>
    <x v="0"/>
    <n v="137878"/>
  </r>
  <r>
    <n v="1633"/>
    <s v="Emp_633"/>
    <x v="1"/>
    <x v="1"/>
    <x v="1"/>
    <x v="1"/>
    <n v="42"/>
    <n v="64433"/>
    <n v="25101"/>
    <x v="0"/>
    <n v="89534"/>
  </r>
  <r>
    <n v="1634"/>
    <s v="Emp_634"/>
    <x v="2"/>
    <x v="1"/>
    <x v="3"/>
    <x v="1"/>
    <n v="45"/>
    <n v="96850"/>
    <n v="21491"/>
    <x v="1"/>
    <n v="118341"/>
  </r>
  <r>
    <n v="1635"/>
    <s v="Emp_635"/>
    <x v="2"/>
    <x v="0"/>
    <x v="0"/>
    <x v="0"/>
    <n v="59"/>
    <n v="86188"/>
    <n v="14030"/>
    <x v="0"/>
    <n v="100218"/>
  </r>
  <r>
    <n v="1636"/>
    <s v="Emp_636"/>
    <x v="3"/>
    <x v="0"/>
    <x v="1"/>
    <x v="3"/>
    <n v="25"/>
    <n v="74951"/>
    <n v="25897"/>
    <x v="0"/>
    <n v="100848"/>
  </r>
  <r>
    <n v="1637"/>
    <s v="Emp_637"/>
    <x v="0"/>
    <x v="1"/>
    <x v="2"/>
    <x v="0"/>
    <n v="45"/>
    <n v="101718"/>
    <n v="6421"/>
    <x v="0"/>
    <n v="108139"/>
  </r>
  <r>
    <n v="1638"/>
    <s v="Emp_638"/>
    <x v="5"/>
    <x v="0"/>
    <x v="3"/>
    <x v="3"/>
    <n v="56"/>
    <n v="56558"/>
    <n v="17970"/>
    <x v="0"/>
    <n v="74528"/>
  </r>
  <r>
    <n v="1639"/>
    <s v="Emp_639"/>
    <x v="3"/>
    <x v="1"/>
    <x v="1"/>
    <x v="0"/>
    <n v="24"/>
    <n v="35659"/>
    <n v="12283"/>
    <x v="0"/>
    <n v="47942"/>
  </r>
  <r>
    <n v="1640"/>
    <s v="Emp_640"/>
    <x v="3"/>
    <x v="1"/>
    <x v="3"/>
    <x v="1"/>
    <n v="25"/>
    <n v="54413"/>
    <n v="20945"/>
    <x v="0"/>
    <n v="75358"/>
  </r>
  <r>
    <n v="1641"/>
    <s v="Emp_641"/>
    <x v="0"/>
    <x v="1"/>
    <x v="3"/>
    <x v="0"/>
    <n v="58"/>
    <n v="30435"/>
    <n v="5255"/>
    <x v="0"/>
    <n v="35690"/>
  </r>
  <r>
    <n v="1642"/>
    <s v="Emp_642"/>
    <x v="5"/>
    <x v="1"/>
    <x v="2"/>
    <x v="2"/>
    <n v="56"/>
    <n v="73911"/>
    <n v="28632"/>
    <x v="0"/>
    <n v="102543"/>
  </r>
  <r>
    <n v="1643"/>
    <s v="Emp_643"/>
    <x v="1"/>
    <x v="1"/>
    <x v="4"/>
    <x v="3"/>
    <n v="52"/>
    <n v="48067"/>
    <n v="16019"/>
    <x v="0"/>
    <n v="64086"/>
  </r>
  <r>
    <n v="1644"/>
    <s v="Emp_644"/>
    <x v="4"/>
    <x v="0"/>
    <x v="1"/>
    <x v="3"/>
    <n v="46"/>
    <n v="107794"/>
    <n v="20487"/>
    <x v="0"/>
    <n v="128281"/>
  </r>
  <r>
    <n v="1645"/>
    <s v="Emp_645"/>
    <x v="4"/>
    <x v="1"/>
    <x v="2"/>
    <x v="1"/>
    <n v="34"/>
    <n v="113823"/>
    <n v="14029"/>
    <x v="0"/>
    <n v="127852"/>
  </r>
  <r>
    <n v="1646"/>
    <s v="Emp_646"/>
    <x v="1"/>
    <x v="0"/>
    <x v="3"/>
    <x v="3"/>
    <n v="25"/>
    <n v="89224"/>
    <n v="24346"/>
    <x v="0"/>
    <n v="113570"/>
  </r>
  <r>
    <n v="1647"/>
    <s v="Emp_647"/>
    <x v="3"/>
    <x v="0"/>
    <x v="2"/>
    <x v="2"/>
    <n v="35"/>
    <n v="93225"/>
    <n v="7282"/>
    <x v="0"/>
    <n v="100507"/>
  </r>
  <r>
    <n v="1648"/>
    <s v="Emp_648"/>
    <x v="5"/>
    <x v="1"/>
    <x v="4"/>
    <x v="0"/>
    <n v="34"/>
    <n v="21379"/>
    <n v="13744"/>
    <x v="0"/>
    <n v="35123"/>
  </r>
  <r>
    <n v="1649"/>
    <s v="Emp_649"/>
    <x v="3"/>
    <x v="1"/>
    <x v="1"/>
    <x v="1"/>
    <n v="48"/>
    <n v="47624"/>
    <n v="29756"/>
    <x v="0"/>
    <n v="77380"/>
  </r>
  <r>
    <n v="1650"/>
    <s v="Emp_650"/>
    <x v="2"/>
    <x v="1"/>
    <x v="4"/>
    <x v="2"/>
    <n v="27"/>
    <n v="111500"/>
    <n v="22861"/>
    <x v="0"/>
    <n v="134361"/>
  </r>
  <r>
    <n v="1651"/>
    <s v="Emp_651"/>
    <x v="3"/>
    <x v="1"/>
    <x v="0"/>
    <x v="3"/>
    <n v="38"/>
    <n v="108427"/>
    <n v="26336"/>
    <x v="0"/>
    <n v="134763"/>
  </r>
  <r>
    <n v="1652"/>
    <s v="Emp_652"/>
    <x v="3"/>
    <x v="1"/>
    <x v="1"/>
    <x v="3"/>
    <n v="57"/>
    <n v="77745"/>
    <n v="27264"/>
    <x v="0"/>
    <n v="105009"/>
  </r>
  <r>
    <n v="1653"/>
    <s v="Emp_653"/>
    <x v="6"/>
    <x v="0"/>
    <x v="4"/>
    <x v="2"/>
    <n v="56"/>
    <n v="71805"/>
    <n v="14919"/>
    <x v="0"/>
    <n v="86724"/>
  </r>
  <r>
    <n v="1654"/>
    <s v="Emp_654"/>
    <x v="1"/>
    <x v="1"/>
    <x v="3"/>
    <x v="0"/>
    <n v="38"/>
    <n v="32516"/>
    <n v="18335"/>
    <x v="0"/>
    <n v="50851"/>
  </r>
  <r>
    <n v="1655"/>
    <s v="Emp_655"/>
    <x v="1"/>
    <x v="1"/>
    <x v="1"/>
    <x v="0"/>
    <n v="23"/>
    <n v="99422"/>
    <n v="26976"/>
    <x v="0"/>
    <n v="126398"/>
  </r>
  <r>
    <n v="1656"/>
    <s v="Emp_656"/>
    <x v="4"/>
    <x v="0"/>
    <x v="1"/>
    <x v="1"/>
    <n v="34"/>
    <n v="105843"/>
    <n v="28475"/>
    <x v="0"/>
    <n v="134318"/>
  </r>
  <r>
    <n v="1657"/>
    <s v="Emp_657"/>
    <x v="2"/>
    <x v="0"/>
    <x v="2"/>
    <x v="3"/>
    <n v="23"/>
    <n v="44843"/>
    <n v="5591"/>
    <x v="1"/>
    <n v="50434"/>
  </r>
  <r>
    <n v="1658"/>
    <s v="Emp_658"/>
    <x v="1"/>
    <x v="1"/>
    <x v="3"/>
    <x v="2"/>
    <n v="49"/>
    <n v="25912"/>
    <n v="11277"/>
    <x v="1"/>
    <n v="37189"/>
  </r>
  <r>
    <n v="1659"/>
    <s v="Emp_659"/>
    <x v="5"/>
    <x v="0"/>
    <x v="0"/>
    <x v="0"/>
    <n v="47"/>
    <n v="41514"/>
    <n v="7260"/>
    <x v="0"/>
    <n v="48774"/>
  </r>
  <r>
    <n v="1660"/>
    <s v="Emp_660"/>
    <x v="4"/>
    <x v="1"/>
    <x v="4"/>
    <x v="1"/>
    <n v="43"/>
    <n v="107359"/>
    <n v="16139"/>
    <x v="0"/>
    <n v="123498"/>
  </r>
  <r>
    <n v="1661"/>
    <s v="Emp_661"/>
    <x v="0"/>
    <x v="0"/>
    <x v="2"/>
    <x v="3"/>
    <n v="24"/>
    <n v="77032"/>
    <n v="5347"/>
    <x v="1"/>
    <n v="82379"/>
  </r>
  <r>
    <n v="1662"/>
    <s v="Emp_662"/>
    <x v="5"/>
    <x v="0"/>
    <x v="4"/>
    <x v="3"/>
    <n v="56"/>
    <n v="48797"/>
    <n v="29741"/>
    <x v="0"/>
    <n v="78538"/>
  </r>
  <r>
    <n v="1663"/>
    <s v="Emp_663"/>
    <x v="5"/>
    <x v="1"/>
    <x v="0"/>
    <x v="1"/>
    <n v="33"/>
    <n v="26449"/>
    <n v="26416"/>
    <x v="0"/>
    <n v="52865"/>
  </r>
  <r>
    <n v="1664"/>
    <s v="Emp_664"/>
    <x v="1"/>
    <x v="0"/>
    <x v="0"/>
    <x v="1"/>
    <n v="45"/>
    <n v="21725"/>
    <n v="9443"/>
    <x v="0"/>
    <n v="31168"/>
  </r>
  <r>
    <n v="1665"/>
    <s v="Emp_665"/>
    <x v="0"/>
    <x v="0"/>
    <x v="1"/>
    <x v="0"/>
    <n v="26"/>
    <n v="101406"/>
    <n v="16088"/>
    <x v="0"/>
    <n v="117494"/>
  </r>
  <r>
    <n v="1666"/>
    <s v="Emp_666"/>
    <x v="0"/>
    <x v="0"/>
    <x v="0"/>
    <x v="2"/>
    <n v="41"/>
    <n v="29304"/>
    <n v="13774"/>
    <x v="0"/>
    <n v="43078"/>
  </r>
  <r>
    <n v="1667"/>
    <s v="Emp_667"/>
    <x v="4"/>
    <x v="0"/>
    <x v="4"/>
    <x v="3"/>
    <n v="34"/>
    <n v="93058"/>
    <n v="11869"/>
    <x v="0"/>
    <n v="104927"/>
  </r>
  <r>
    <n v="1668"/>
    <s v="Emp_668"/>
    <x v="0"/>
    <x v="0"/>
    <x v="3"/>
    <x v="2"/>
    <n v="33"/>
    <n v="33663"/>
    <n v="27080"/>
    <x v="1"/>
    <n v="60743"/>
  </r>
  <r>
    <n v="1669"/>
    <s v="Emp_669"/>
    <x v="2"/>
    <x v="0"/>
    <x v="3"/>
    <x v="3"/>
    <n v="34"/>
    <n v="90320"/>
    <n v="24422"/>
    <x v="0"/>
    <n v="114742"/>
  </r>
  <r>
    <n v="1670"/>
    <s v="Emp_670"/>
    <x v="1"/>
    <x v="2"/>
    <x v="1"/>
    <x v="3"/>
    <n v="31"/>
    <n v="95008"/>
    <n v="7845"/>
    <x v="0"/>
    <n v="102853"/>
  </r>
  <r>
    <n v="1671"/>
    <s v="Emp_671"/>
    <x v="0"/>
    <x v="1"/>
    <x v="4"/>
    <x v="2"/>
    <n v="54"/>
    <n v="114488"/>
    <n v="29248"/>
    <x v="0"/>
    <n v="143736"/>
  </r>
  <r>
    <n v="1672"/>
    <s v="Emp_672"/>
    <x v="4"/>
    <x v="0"/>
    <x v="4"/>
    <x v="1"/>
    <n v="37"/>
    <n v="95591"/>
    <n v="27993"/>
    <x v="0"/>
    <n v="123584"/>
  </r>
  <r>
    <n v="1673"/>
    <s v="Emp_673"/>
    <x v="2"/>
    <x v="1"/>
    <x v="0"/>
    <x v="0"/>
    <n v="56"/>
    <n v="115044"/>
    <n v="17386"/>
    <x v="0"/>
    <n v="132430"/>
  </r>
  <r>
    <n v="1674"/>
    <s v="Emp_674"/>
    <x v="6"/>
    <x v="1"/>
    <x v="4"/>
    <x v="3"/>
    <n v="24"/>
    <n v="32676"/>
    <n v="6265"/>
    <x v="0"/>
    <n v="38941"/>
  </r>
  <r>
    <n v="1675"/>
    <s v="Emp_675"/>
    <x v="3"/>
    <x v="1"/>
    <x v="2"/>
    <x v="1"/>
    <n v="26"/>
    <n v="45192"/>
    <n v="17445"/>
    <x v="0"/>
    <n v="62637"/>
  </r>
  <r>
    <n v="1676"/>
    <s v="Emp_676"/>
    <x v="2"/>
    <x v="0"/>
    <x v="0"/>
    <x v="3"/>
    <n v="47"/>
    <n v="44722"/>
    <n v="17938"/>
    <x v="0"/>
    <n v="62660"/>
  </r>
  <r>
    <n v="1677"/>
    <s v="Emp_677"/>
    <x v="4"/>
    <x v="1"/>
    <x v="2"/>
    <x v="0"/>
    <n v="32"/>
    <n v="27446"/>
    <n v="16159"/>
    <x v="0"/>
    <n v="43605"/>
  </r>
  <r>
    <n v="1678"/>
    <s v="Emp_678"/>
    <x v="2"/>
    <x v="0"/>
    <x v="1"/>
    <x v="3"/>
    <n v="28"/>
    <n v="24725"/>
    <n v="7274"/>
    <x v="0"/>
    <n v="31999"/>
  </r>
  <r>
    <n v="1679"/>
    <s v="Emp_679"/>
    <x v="1"/>
    <x v="1"/>
    <x v="3"/>
    <x v="0"/>
    <n v="31"/>
    <n v="105597"/>
    <n v="23854"/>
    <x v="0"/>
    <n v="129451"/>
  </r>
  <r>
    <n v="1680"/>
    <s v="Emp_680"/>
    <x v="1"/>
    <x v="0"/>
    <x v="1"/>
    <x v="0"/>
    <n v="55"/>
    <n v="108207"/>
    <n v="15482"/>
    <x v="0"/>
    <n v="123689"/>
  </r>
  <r>
    <n v="1681"/>
    <s v="Emp_681"/>
    <x v="3"/>
    <x v="0"/>
    <x v="3"/>
    <x v="3"/>
    <n v="24"/>
    <n v="77632"/>
    <n v="23961"/>
    <x v="0"/>
    <n v="101593"/>
  </r>
  <r>
    <n v="1682"/>
    <s v="Emp_682"/>
    <x v="0"/>
    <x v="1"/>
    <x v="1"/>
    <x v="3"/>
    <n v="29"/>
    <n v="86945"/>
    <n v="25044"/>
    <x v="0"/>
    <n v="111989"/>
  </r>
  <r>
    <n v="1683"/>
    <s v="Emp_683"/>
    <x v="4"/>
    <x v="1"/>
    <x v="4"/>
    <x v="0"/>
    <n v="52"/>
    <n v="93741"/>
    <n v="6068"/>
    <x v="0"/>
    <n v="99809"/>
  </r>
  <r>
    <n v="1684"/>
    <s v="Emp_684"/>
    <x v="3"/>
    <x v="0"/>
    <x v="2"/>
    <x v="1"/>
    <n v="32"/>
    <n v="36365"/>
    <n v="26975"/>
    <x v="1"/>
    <n v="63340"/>
  </r>
  <r>
    <n v="1685"/>
    <s v="Emp_685"/>
    <x v="0"/>
    <x v="1"/>
    <x v="3"/>
    <x v="2"/>
    <n v="28"/>
    <n v="85792"/>
    <n v="19706"/>
    <x v="0"/>
    <n v="105498"/>
  </r>
  <r>
    <n v="1686"/>
    <s v="Emp_686"/>
    <x v="0"/>
    <x v="1"/>
    <x v="0"/>
    <x v="0"/>
    <n v="23"/>
    <n v="84857"/>
    <n v="10974"/>
    <x v="0"/>
    <n v="95831"/>
  </r>
  <r>
    <n v="1687"/>
    <s v="Emp_687"/>
    <x v="1"/>
    <x v="1"/>
    <x v="2"/>
    <x v="3"/>
    <n v="27"/>
    <n v="35704"/>
    <n v="15928"/>
    <x v="1"/>
    <n v="51632"/>
  </r>
  <r>
    <n v="1688"/>
    <s v="Emp_688"/>
    <x v="5"/>
    <x v="0"/>
    <x v="0"/>
    <x v="3"/>
    <n v="53"/>
    <n v="70575"/>
    <n v="26213"/>
    <x v="1"/>
    <n v="96788"/>
  </r>
  <r>
    <n v="1689"/>
    <s v="Emp_689"/>
    <x v="6"/>
    <x v="0"/>
    <x v="2"/>
    <x v="1"/>
    <n v="41"/>
    <n v="49902"/>
    <n v="6950"/>
    <x v="0"/>
    <n v="56852"/>
  </r>
  <r>
    <n v="1690"/>
    <s v="Emp_690"/>
    <x v="2"/>
    <x v="1"/>
    <x v="2"/>
    <x v="2"/>
    <n v="55"/>
    <n v="21195"/>
    <n v="29667"/>
    <x v="1"/>
    <n v="50862"/>
  </r>
  <r>
    <n v="1691"/>
    <s v="Emp_691"/>
    <x v="1"/>
    <x v="1"/>
    <x v="1"/>
    <x v="0"/>
    <n v="37"/>
    <n v="73517"/>
    <n v="24477"/>
    <x v="1"/>
    <n v="97994"/>
  </r>
  <r>
    <n v="1692"/>
    <s v="Emp_692"/>
    <x v="0"/>
    <x v="1"/>
    <x v="3"/>
    <x v="0"/>
    <n v="46"/>
    <n v="54012"/>
    <n v="15411"/>
    <x v="0"/>
    <n v="69423"/>
  </r>
  <r>
    <n v="1693"/>
    <s v="Emp_693"/>
    <x v="4"/>
    <x v="0"/>
    <x v="3"/>
    <x v="2"/>
    <n v="33"/>
    <n v="31415"/>
    <n v="26695"/>
    <x v="1"/>
    <n v="58110"/>
  </r>
  <r>
    <n v="1694"/>
    <s v="Emp_694"/>
    <x v="5"/>
    <x v="0"/>
    <x v="2"/>
    <x v="0"/>
    <n v="28"/>
    <n v="59534"/>
    <n v="18388"/>
    <x v="0"/>
    <n v="77922"/>
  </r>
  <r>
    <n v="1695"/>
    <s v="Emp_695"/>
    <x v="0"/>
    <x v="1"/>
    <x v="4"/>
    <x v="2"/>
    <n v="38"/>
    <n v="41686"/>
    <n v="22771"/>
    <x v="0"/>
    <n v="64457"/>
  </r>
  <r>
    <n v="1696"/>
    <s v="Emp_696"/>
    <x v="5"/>
    <x v="1"/>
    <x v="4"/>
    <x v="3"/>
    <n v="32"/>
    <n v="97198"/>
    <n v="9274"/>
    <x v="0"/>
    <n v="106472"/>
  </r>
  <r>
    <n v="1697"/>
    <s v="Emp_697"/>
    <x v="5"/>
    <x v="1"/>
    <x v="0"/>
    <x v="2"/>
    <n v="27"/>
    <n v="48743"/>
    <n v="7285"/>
    <x v="0"/>
    <n v="56028"/>
  </r>
  <r>
    <n v="1698"/>
    <s v="Emp_698"/>
    <x v="5"/>
    <x v="1"/>
    <x v="0"/>
    <x v="0"/>
    <n v="44"/>
    <n v="52161"/>
    <n v="24590"/>
    <x v="0"/>
    <n v="76751"/>
  </r>
  <r>
    <n v="1699"/>
    <s v="Emp_699"/>
    <x v="4"/>
    <x v="1"/>
    <x v="1"/>
    <x v="2"/>
    <n v="48"/>
    <n v="81313"/>
    <n v="24308"/>
    <x v="0"/>
    <n v="105621"/>
  </r>
  <r>
    <n v="1700"/>
    <s v="Emp_700"/>
    <x v="1"/>
    <x v="1"/>
    <x v="2"/>
    <x v="1"/>
    <n v="27"/>
    <n v="22402"/>
    <n v="12045"/>
    <x v="0"/>
    <n v="34447"/>
  </r>
  <r>
    <n v="1701"/>
    <s v="Emp_701"/>
    <x v="4"/>
    <x v="0"/>
    <x v="0"/>
    <x v="3"/>
    <n v="59"/>
    <n v="83190"/>
    <n v="29855"/>
    <x v="0"/>
    <n v="113045"/>
  </r>
  <r>
    <n v="1702"/>
    <s v="Emp_702"/>
    <x v="3"/>
    <x v="1"/>
    <x v="0"/>
    <x v="3"/>
    <n v="23"/>
    <n v="72551"/>
    <n v="6618"/>
    <x v="0"/>
    <n v="79169"/>
  </r>
  <r>
    <n v="1703"/>
    <s v="Emp_703"/>
    <x v="0"/>
    <x v="0"/>
    <x v="2"/>
    <x v="2"/>
    <n v="43"/>
    <n v="33275"/>
    <n v="15979"/>
    <x v="0"/>
    <n v="49254"/>
  </r>
  <r>
    <n v="1704"/>
    <s v="Emp_704"/>
    <x v="1"/>
    <x v="1"/>
    <x v="1"/>
    <x v="0"/>
    <n v="41"/>
    <n v="48182"/>
    <n v="13562"/>
    <x v="0"/>
    <n v="61744"/>
  </r>
  <r>
    <n v="1705"/>
    <s v="Emp_705"/>
    <x v="1"/>
    <x v="1"/>
    <x v="0"/>
    <x v="1"/>
    <n v="46"/>
    <n v="34915"/>
    <n v="27280"/>
    <x v="0"/>
    <n v="62195"/>
  </r>
  <r>
    <n v="1706"/>
    <s v="Emp_706"/>
    <x v="1"/>
    <x v="0"/>
    <x v="1"/>
    <x v="3"/>
    <n v="36"/>
    <n v="20909"/>
    <n v="17026"/>
    <x v="0"/>
    <n v="37935"/>
  </r>
  <r>
    <n v="1707"/>
    <s v="Emp_707"/>
    <x v="1"/>
    <x v="0"/>
    <x v="3"/>
    <x v="3"/>
    <n v="50"/>
    <n v="85908"/>
    <n v="12843"/>
    <x v="0"/>
    <n v="98751"/>
  </r>
  <r>
    <n v="1708"/>
    <s v="Emp_708"/>
    <x v="4"/>
    <x v="0"/>
    <x v="1"/>
    <x v="0"/>
    <n v="29"/>
    <n v="42620"/>
    <n v="14895"/>
    <x v="0"/>
    <n v="57515"/>
  </r>
  <r>
    <n v="1709"/>
    <s v="Emp_709"/>
    <x v="1"/>
    <x v="0"/>
    <x v="4"/>
    <x v="0"/>
    <n v="58"/>
    <n v="54112"/>
    <n v="28447"/>
    <x v="0"/>
    <n v="82559"/>
  </r>
  <r>
    <n v="1710"/>
    <s v="Emp_710"/>
    <x v="2"/>
    <x v="1"/>
    <x v="4"/>
    <x v="1"/>
    <n v="54"/>
    <n v="94051"/>
    <n v="29879"/>
    <x v="1"/>
    <n v="123930"/>
  </r>
  <r>
    <n v="1711"/>
    <s v="Emp_711"/>
    <x v="0"/>
    <x v="0"/>
    <x v="1"/>
    <x v="2"/>
    <n v="43"/>
    <n v="22431"/>
    <n v="16966"/>
    <x v="0"/>
    <n v="39397"/>
  </r>
  <r>
    <n v="1712"/>
    <s v="Emp_712"/>
    <x v="1"/>
    <x v="1"/>
    <x v="4"/>
    <x v="0"/>
    <n v="26"/>
    <n v="106590"/>
    <n v="22732"/>
    <x v="0"/>
    <n v="129322"/>
  </r>
  <r>
    <n v="1713"/>
    <s v="Emp_713"/>
    <x v="0"/>
    <x v="0"/>
    <x v="3"/>
    <x v="2"/>
    <n v="39"/>
    <n v="82175"/>
    <n v="26940"/>
    <x v="0"/>
    <n v="109115"/>
  </r>
  <r>
    <n v="1714"/>
    <s v="Emp_714"/>
    <x v="2"/>
    <x v="1"/>
    <x v="2"/>
    <x v="1"/>
    <n v="59"/>
    <n v="52624"/>
    <n v="10289"/>
    <x v="1"/>
    <n v="62913"/>
  </r>
  <r>
    <n v="1715"/>
    <s v="Emp_715"/>
    <x v="2"/>
    <x v="1"/>
    <x v="4"/>
    <x v="2"/>
    <n v="58"/>
    <n v="96121"/>
    <n v="23806"/>
    <x v="0"/>
    <n v="119927"/>
  </r>
  <r>
    <n v="1716"/>
    <s v="Emp_716"/>
    <x v="0"/>
    <x v="1"/>
    <x v="4"/>
    <x v="3"/>
    <n v="51"/>
    <n v="81264"/>
    <n v="25012"/>
    <x v="0"/>
    <n v="106276"/>
  </r>
  <r>
    <n v="1717"/>
    <s v="Emp_717"/>
    <x v="5"/>
    <x v="1"/>
    <x v="1"/>
    <x v="2"/>
    <n v="52"/>
    <n v="51958"/>
    <n v="23812"/>
    <x v="0"/>
    <n v="75770"/>
  </r>
  <r>
    <n v="1718"/>
    <s v="Emp_718"/>
    <x v="3"/>
    <x v="1"/>
    <x v="3"/>
    <x v="1"/>
    <n v="31"/>
    <n v="21695"/>
    <n v="8033"/>
    <x v="0"/>
    <n v="29728"/>
  </r>
  <r>
    <n v="1719"/>
    <s v="Emp_719"/>
    <x v="5"/>
    <x v="1"/>
    <x v="2"/>
    <x v="1"/>
    <n v="36"/>
    <n v="69554.53"/>
    <n v="27541"/>
    <x v="0"/>
    <n v="97095.53"/>
  </r>
  <r>
    <n v="1720"/>
    <s v="Emp_720"/>
    <x v="6"/>
    <x v="0"/>
    <x v="1"/>
    <x v="1"/>
    <n v="39"/>
    <n v="119323"/>
    <n v="13860"/>
    <x v="0"/>
    <n v="133183"/>
  </r>
  <r>
    <n v="1721"/>
    <s v="Emp_721"/>
    <x v="4"/>
    <x v="1"/>
    <x v="1"/>
    <x v="2"/>
    <n v="44"/>
    <n v="64225"/>
    <n v="12813"/>
    <x v="0"/>
    <n v="77038"/>
  </r>
  <r>
    <n v="1722"/>
    <s v="Emp_722"/>
    <x v="5"/>
    <x v="0"/>
    <x v="3"/>
    <x v="3"/>
    <n v="54"/>
    <n v="21403"/>
    <n v="22798"/>
    <x v="0"/>
    <n v="44201"/>
  </r>
  <r>
    <n v="1723"/>
    <s v="Emp_723"/>
    <x v="1"/>
    <x v="0"/>
    <x v="2"/>
    <x v="0"/>
    <n v="37"/>
    <n v="103346"/>
    <n v="18860"/>
    <x v="0"/>
    <n v="122206"/>
  </r>
  <r>
    <n v="1724"/>
    <s v="Emp_724"/>
    <x v="4"/>
    <x v="1"/>
    <x v="3"/>
    <x v="3"/>
    <n v="59"/>
    <n v="69554.53"/>
    <n v="28092"/>
    <x v="0"/>
    <n v="97646.53"/>
  </r>
  <r>
    <n v="1725"/>
    <s v="Emp_725"/>
    <x v="4"/>
    <x v="0"/>
    <x v="2"/>
    <x v="2"/>
    <n v="56"/>
    <n v="58636"/>
    <n v="19294"/>
    <x v="0"/>
    <n v="77930"/>
  </r>
  <r>
    <n v="1726"/>
    <s v="Emp_726"/>
    <x v="2"/>
    <x v="1"/>
    <x v="3"/>
    <x v="2"/>
    <n v="55"/>
    <n v="30839"/>
    <n v="28019"/>
    <x v="1"/>
    <n v="58858"/>
  </r>
  <r>
    <n v="1727"/>
    <s v="Emp_727"/>
    <x v="5"/>
    <x v="0"/>
    <x v="1"/>
    <x v="0"/>
    <n v="49"/>
    <n v="85546"/>
    <n v="8621"/>
    <x v="0"/>
    <n v="94167"/>
  </r>
  <r>
    <n v="1728"/>
    <s v="Emp_728"/>
    <x v="6"/>
    <x v="1"/>
    <x v="1"/>
    <x v="2"/>
    <n v="23"/>
    <n v="67829"/>
    <n v="26699"/>
    <x v="0"/>
    <n v="94528"/>
  </r>
  <r>
    <n v="1729"/>
    <s v="Emp_729"/>
    <x v="0"/>
    <x v="0"/>
    <x v="0"/>
    <x v="1"/>
    <n v="51"/>
    <n v="29230"/>
    <n v="22138"/>
    <x v="0"/>
    <n v="51368"/>
  </r>
  <r>
    <n v="1730"/>
    <s v="Emp_730"/>
    <x v="3"/>
    <x v="1"/>
    <x v="4"/>
    <x v="1"/>
    <n v="34"/>
    <n v="71977"/>
    <n v="7347"/>
    <x v="0"/>
    <n v="79324"/>
  </r>
  <r>
    <n v="1731"/>
    <s v="Emp_731"/>
    <x v="4"/>
    <x v="1"/>
    <x v="3"/>
    <x v="1"/>
    <n v="37"/>
    <n v="60232"/>
    <n v="19882"/>
    <x v="0"/>
    <n v="80114"/>
  </r>
  <r>
    <n v="1732"/>
    <s v="Emp_732"/>
    <x v="0"/>
    <x v="1"/>
    <x v="0"/>
    <x v="1"/>
    <n v="26"/>
    <n v="69554.53"/>
    <n v="22110"/>
    <x v="0"/>
    <n v="91664.53"/>
  </r>
  <r>
    <n v="1733"/>
    <s v="Emp_733"/>
    <x v="0"/>
    <x v="1"/>
    <x v="4"/>
    <x v="1"/>
    <n v="49"/>
    <n v="45651"/>
    <n v="9923"/>
    <x v="0"/>
    <n v="55574"/>
  </r>
  <r>
    <n v="1734"/>
    <s v="Emp_734"/>
    <x v="6"/>
    <x v="0"/>
    <x v="3"/>
    <x v="2"/>
    <n v="41"/>
    <n v="117919"/>
    <n v="24033"/>
    <x v="0"/>
    <n v="141952"/>
  </r>
  <r>
    <n v="1735"/>
    <s v="Emp_735"/>
    <x v="3"/>
    <x v="1"/>
    <x v="2"/>
    <x v="0"/>
    <n v="45"/>
    <n v="59963"/>
    <n v="20611"/>
    <x v="0"/>
    <n v="80574"/>
  </r>
  <r>
    <n v="1736"/>
    <s v="Emp_736"/>
    <x v="0"/>
    <x v="0"/>
    <x v="4"/>
    <x v="0"/>
    <n v="48"/>
    <n v="75872"/>
    <n v="20367"/>
    <x v="1"/>
    <n v="96239"/>
  </r>
  <r>
    <n v="1737"/>
    <s v="Emp_737"/>
    <x v="0"/>
    <x v="0"/>
    <x v="1"/>
    <x v="1"/>
    <n v="51"/>
    <n v="69554.53"/>
    <n v="24199"/>
    <x v="0"/>
    <n v="93753.53"/>
  </r>
  <r>
    <n v="1738"/>
    <s v="Emp_738"/>
    <x v="3"/>
    <x v="0"/>
    <x v="0"/>
    <x v="2"/>
    <n v="48"/>
    <n v="33739"/>
    <n v="14066"/>
    <x v="0"/>
    <n v="47805"/>
  </r>
  <r>
    <n v="1739"/>
    <s v="Emp_739"/>
    <x v="3"/>
    <x v="1"/>
    <x v="4"/>
    <x v="3"/>
    <n v="47"/>
    <n v="83294"/>
    <n v="8279"/>
    <x v="0"/>
    <n v="91573"/>
  </r>
  <r>
    <n v="1740"/>
    <s v="Emp_740"/>
    <x v="0"/>
    <x v="0"/>
    <x v="4"/>
    <x v="3"/>
    <n v="28"/>
    <n v="68356"/>
    <n v="24368"/>
    <x v="0"/>
    <n v="92724"/>
  </r>
  <r>
    <n v="1741"/>
    <s v="Emp_741"/>
    <x v="3"/>
    <x v="0"/>
    <x v="1"/>
    <x v="2"/>
    <n v="59"/>
    <n v="21789"/>
    <n v="8807"/>
    <x v="0"/>
    <n v="30596"/>
  </r>
  <r>
    <n v="1742"/>
    <s v="Emp_742"/>
    <x v="0"/>
    <x v="0"/>
    <x v="3"/>
    <x v="1"/>
    <n v="26"/>
    <n v="39420"/>
    <n v="29260"/>
    <x v="1"/>
    <n v="68680"/>
  </r>
  <r>
    <n v="1743"/>
    <s v="Emp_743"/>
    <x v="0"/>
    <x v="1"/>
    <x v="2"/>
    <x v="0"/>
    <n v="44"/>
    <n v="69554.53"/>
    <n v="27483"/>
    <x v="0"/>
    <n v="97037.53"/>
  </r>
  <r>
    <n v="1744"/>
    <s v="Emp_744"/>
    <x v="1"/>
    <x v="1"/>
    <x v="1"/>
    <x v="2"/>
    <n v="49"/>
    <n v="57606"/>
    <n v="18965"/>
    <x v="0"/>
    <n v="76571"/>
  </r>
  <r>
    <n v="1745"/>
    <s v="Emp_745"/>
    <x v="5"/>
    <x v="0"/>
    <x v="2"/>
    <x v="3"/>
    <n v="55"/>
    <n v="58640"/>
    <n v="21123"/>
    <x v="0"/>
    <n v="79763"/>
  </r>
  <r>
    <n v="1746"/>
    <s v="Emp_746"/>
    <x v="0"/>
    <x v="1"/>
    <x v="3"/>
    <x v="3"/>
    <n v="36"/>
    <n v="64135"/>
    <n v="21991"/>
    <x v="0"/>
    <n v="86126"/>
  </r>
  <r>
    <n v="1747"/>
    <s v="Emp_747"/>
    <x v="2"/>
    <x v="1"/>
    <x v="4"/>
    <x v="3"/>
    <n v="53"/>
    <n v="57067"/>
    <n v="27553"/>
    <x v="0"/>
    <n v="84620"/>
  </r>
  <r>
    <n v="1748"/>
    <s v="Emp_748"/>
    <x v="4"/>
    <x v="0"/>
    <x v="2"/>
    <x v="1"/>
    <n v="47"/>
    <n v="78420"/>
    <n v="29174"/>
    <x v="1"/>
    <n v="107594"/>
  </r>
  <r>
    <n v="1749"/>
    <s v="Emp_749"/>
    <x v="5"/>
    <x v="0"/>
    <x v="0"/>
    <x v="3"/>
    <n v="52"/>
    <n v="37357"/>
    <n v="26957"/>
    <x v="0"/>
    <n v="64314"/>
  </r>
  <r>
    <n v="1750"/>
    <s v="Emp_750"/>
    <x v="5"/>
    <x v="1"/>
    <x v="0"/>
    <x v="2"/>
    <n v="40"/>
    <n v="59851"/>
    <n v="5634"/>
    <x v="0"/>
    <n v="65485"/>
  </r>
  <r>
    <n v="1751"/>
    <s v="Emp_751"/>
    <x v="5"/>
    <x v="0"/>
    <x v="1"/>
    <x v="2"/>
    <n v="30"/>
    <n v="58262"/>
    <n v="17771"/>
    <x v="0"/>
    <n v="76033"/>
  </r>
  <r>
    <n v="1752"/>
    <s v="Emp_752"/>
    <x v="1"/>
    <x v="1"/>
    <x v="3"/>
    <x v="3"/>
    <n v="50"/>
    <n v="96853"/>
    <n v="22458"/>
    <x v="0"/>
    <n v="119311"/>
  </r>
  <r>
    <n v="1753"/>
    <s v="Emp_753"/>
    <x v="0"/>
    <x v="1"/>
    <x v="1"/>
    <x v="2"/>
    <n v="25"/>
    <n v="78643"/>
    <n v="23298"/>
    <x v="0"/>
    <n v="101941"/>
  </r>
  <r>
    <n v="1754"/>
    <s v="Emp_754"/>
    <x v="1"/>
    <x v="1"/>
    <x v="1"/>
    <x v="3"/>
    <n v="24"/>
    <n v="41534"/>
    <n v="19340"/>
    <x v="0"/>
    <n v="60874"/>
  </r>
  <r>
    <n v="1755"/>
    <s v="Emp_755"/>
    <x v="0"/>
    <x v="1"/>
    <x v="1"/>
    <x v="3"/>
    <n v="50"/>
    <n v="111270"/>
    <n v="5588"/>
    <x v="1"/>
    <n v="116858"/>
  </r>
  <r>
    <n v="1756"/>
    <s v="Emp_756"/>
    <x v="1"/>
    <x v="1"/>
    <x v="0"/>
    <x v="0"/>
    <n v="32"/>
    <n v="52872"/>
    <n v="8231"/>
    <x v="0"/>
    <n v="61103"/>
  </r>
  <r>
    <n v="1757"/>
    <s v="Emp_757"/>
    <x v="1"/>
    <x v="1"/>
    <x v="0"/>
    <x v="1"/>
    <n v="54"/>
    <n v="27689"/>
    <n v="11351"/>
    <x v="0"/>
    <n v="39040"/>
  </r>
  <r>
    <n v="1758"/>
    <s v="Emp_758"/>
    <x v="4"/>
    <x v="0"/>
    <x v="1"/>
    <x v="1"/>
    <n v="59"/>
    <n v="89103"/>
    <n v="8838"/>
    <x v="0"/>
    <n v="97941"/>
  </r>
  <r>
    <n v="1759"/>
    <s v="Emp_759"/>
    <x v="2"/>
    <x v="0"/>
    <x v="0"/>
    <x v="0"/>
    <n v="32"/>
    <n v="106268"/>
    <n v="6973"/>
    <x v="0"/>
    <n v="113241"/>
  </r>
  <r>
    <n v="1760"/>
    <s v="Emp_760"/>
    <x v="1"/>
    <x v="1"/>
    <x v="3"/>
    <x v="0"/>
    <n v="48"/>
    <n v="106310"/>
    <n v="19346"/>
    <x v="1"/>
    <n v="125656"/>
  </r>
  <r>
    <n v="1761"/>
    <s v="Emp_761"/>
    <x v="4"/>
    <x v="1"/>
    <x v="1"/>
    <x v="1"/>
    <n v="54"/>
    <n v="108731"/>
    <n v="10044"/>
    <x v="0"/>
    <n v="118775"/>
  </r>
  <r>
    <n v="1762"/>
    <s v="Emp_762"/>
    <x v="3"/>
    <x v="1"/>
    <x v="0"/>
    <x v="3"/>
    <n v="42"/>
    <n v="57412"/>
    <n v="15247"/>
    <x v="0"/>
    <n v="72659"/>
  </r>
  <r>
    <n v="1763"/>
    <s v="Emp_763"/>
    <x v="2"/>
    <x v="0"/>
    <x v="2"/>
    <x v="3"/>
    <n v="52"/>
    <n v="67734"/>
    <n v="16672"/>
    <x v="0"/>
    <n v="84406"/>
  </r>
  <r>
    <n v="1764"/>
    <s v="Emp_764"/>
    <x v="1"/>
    <x v="1"/>
    <x v="1"/>
    <x v="1"/>
    <n v="59"/>
    <n v="107793"/>
    <n v="15271"/>
    <x v="0"/>
    <n v="123064"/>
  </r>
  <r>
    <n v="1765"/>
    <s v="Emp_765"/>
    <x v="5"/>
    <x v="0"/>
    <x v="1"/>
    <x v="3"/>
    <n v="23"/>
    <n v="89930"/>
    <n v="27487"/>
    <x v="0"/>
    <n v="117417"/>
  </r>
  <r>
    <n v="1766"/>
    <s v="Emp_766"/>
    <x v="3"/>
    <x v="1"/>
    <x v="3"/>
    <x v="0"/>
    <n v="48"/>
    <n v="69554.53"/>
    <n v="11683"/>
    <x v="0"/>
    <n v="81237.53"/>
  </r>
  <r>
    <n v="1767"/>
    <s v="Emp_767"/>
    <x v="3"/>
    <x v="1"/>
    <x v="4"/>
    <x v="3"/>
    <n v="57"/>
    <n v="97924"/>
    <n v="27221"/>
    <x v="0"/>
    <n v="125145"/>
  </r>
  <r>
    <n v="1768"/>
    <s v="Emp_768"/>
    <x v="4"/>
    <x v="0"/>
    <x v="4"/>
    <x v="3"/>
    <n v="32"/>
    <n v="31319"/>
    <n v="16244"/>
    <x v="0"/>
    <n v="47563"/>
  </r>
  <r>
    <n v="1769"/>
    <s v="Emp_769"/>
    <x v="3"/>
    <x v="0"/>
    <x v="3"/>
    <x v="2"/>
    <n v="39"/>
    <n v="26475"/>
    <n v="11783"/>
    <x v="0"/>
    <n v="38258"/>
  </r>
  <r>
    <n v="1770"/>
    <s v="Emp_770"/>
    <x v="2"/>
    <x v="1"/>
    <x v="3"/>
    <x v="2"/>
    <n v="22"/>
    <n v="117091"/>
    <n v="10594"/>
    <x v="1"/>
    <n v="127685"/>
  </r>
  <r>
    <n v="1771"/>
    <s v="Emp_771"/>
    <x v="1"/>
    <x v="1"/>
    <x v="3"/>
    <x v="2"/>
    <n v="56"/>
    <n v="103694"/>
    <n v="8822"/>
    <x v="1"/>
    <n v="112516"/>
  </r>
  <r>
    <n v="1772"/>
    <s v="Emp_772"/>
    <x v="1"/>
    <x v="1"/>
    <x v="4"/>
    <x v="3"/>
    <n v="56"/>
    <n v="34728"/>
    <n v="8389"/>
    <x v="0"/>
    <n v="43117"/>
  </r>
  <r>
    <n v="1773"/>
    <s v="Emp_773"/>
    <x v="5"/>
    <x v="0"/>
    <x v="3"/>
    <x v="1"/>
    <n v="52"/>
    <n v="49545"/>
    <n v="10914"/>
    <x v="0"/>
    <n v="60459"/>
  </r>
  <r>
    <n v="1774"/>
    <s v="Emp_774"/>
    <x v="4"/>
    <x v="0"/>
    <x v="0"/>
    <x v="0"/>
    <n v="49"/>
    <n v="116636"/>
    <n v="23164"/>
    <x v="0"/>
    <n v="139800"/>
  </r>
  <r>
    <n v="1775"/>
    <s v="Emp_775"/>
    <x v="5"/>
    <x v="0"/>
    <x v="1"/>
    <x v="3"/>
    <n v="22"/>
    <n v="101686"/>
    <n v="8688"/>
    <x v="0"/>
    <n v="110374"/>
  </r>
  <r>
    <n v="1776"/>
    <s v="Emp_776"/>
    <x v="3"/>
    <x v="0"/>
    <x v="1"/>
    <x v="1"/>
    <n v="46"/>
    <n v="118750"/>
    <n v="19683"/>
    <x v="0"/>
    <n v="138433"/>
  </r>
  <r>
    <n v="1777"/>
    <s v="Emp_777"/>
    <x v="5"/>
    <x v="0"/>
    <x v="2"/>
    <x v="3"/>
    <n v="59"/>
    <n v="118412"/>
    <n v="18080"/>
    <x v="0"/>
    <n v="136492"/>
  </r>
  <r>
    <n v="1778"/>
    <s v="Emp_778"/>
    <x v="2"/>
    <x v="0"/>
    <x v="2"/>
    <x v="0"/>
    <n v="41"/>
    <n v="81756"/>
    <n v="14916"/>
    <x v="0"/>
    <n v="96672"/>
  </r>
  <r>
    <n v="1779"/>
    <s v="Emp_779"/>
    <x v="6"/>
    <x v="1"/>
    <x v="1"/>
    <x v="3"/>
    <n v="24"/>
    <n v="88775"/>
    <n v="28595"/>
    <x v="0"/>
    <n v="117370"/>
  </r>
  <r>
    <n v="1780"/>
    <s v="Emp_780"/>
    <x v="3"/>
    <x v="1"/>
    <x v="0"/>
    <x v="0"/>
    <n v="23"/>
    <n v="58699"/>
    <n v="10037"/>
    <x v="0"/>
    <n v="68736"/>
  </r>
  <r>
    <n v="1781"/>
    <s v="Emp_781"/>
    <x v="5"/>
    <x v="0"/>
    <x v="4"/>
    <x v="3"/>
    <n v="39"/>
    <n v="56821"/>
    <n v="18453"/>
    <x v="0"/>
    <n v="75274"/>
  </r>
  <r>
    <n v="1782"/>
    <s v="Emp_782"/>
    <x v="4"/>
    <x v="1"/>
    <x v="4"/>
    <x v="0"/>
    <n v="31"/>
    <n v="50615"/>
    <n v="27703"/>
    <x v="0"/>
    <n v="78318"/>
  </r>
  <r>
    <n v="1783"/>
    <s v="Emp_783"/>
    <x v="2"/>
    <x v="1"/>
    <x v="0"/>
    <x v="3"/>
    <n v="26"/>
    <n v="33746"/>
    <n v="13640"/>
    <x v="0"/>
    <n v="47386"/>
  </r>
  <r>
    <n v="1784"/>
    <s v="Emp_784"/>
    <x v="2"/>
    <x v="0"/>
    <x v="4"/>
    <x v="0"/>
    <n v="30"/>
    <n v="106457"/>
    <n v="5081"/>
    <x v="0"/>
    <n v="111538"/>
  </r>
  <r>
    <n v="1785"/>
    <s v="Emp_785"/>
    <x v="5"/>
    <x v="1"/>
    <x v="3"/>
    <x v="2"/>
    <n v="23"/>
    <n v="42745"/>
    <n v="11278"/>
    <x v="0"/>
    <n v="54023"/>
  </r>
  <r>
    <n v="1786"/>
    <s v="Emp_786"/>
    <x v="1"/>
    <x v="0"/>
    <x v="1"/>
    <x v="3"/>
    <n v="55"/>
    <n v="21245"/>
    <n v="21078"/>
    <x v="0"/>
    <n v="42323"/>
  </r>
  <r>
    <n v="1787"/>
    <s v="Emp_787"/>
    <x v="5"/>
    <x v="0"/>
    <x v="1"/>
    <x v="3"/>
    <n v="59"/>
    <n v="44853"/>
    <n v="28383"/>
    <x v="0"/>
    <n v="73236"/>
  </r>
  <r>
    <n v="1788"/>
    <s v="Emp_788"/>
    <x v="3"/>
    <x v="1"/>
    <x v="0"/>
    <x v="1"/>
    <n v="52"/>
    <n v="47632"/>
    <n v="20536"/>
    <x v="1"/>
    <n v="68168"/>
  </r>
  <r>
    <n v="1789"/>
    <s v="Emp_789"/>
    <x v="5"/>
    <x v="0"/>
    <x v="4"/>
    <x v="1"/>
    <n v="31"/>
    <n v="32856"/>
    <n v="22790"/>
    <x v="0"/>
    <n v="55646"/>
  </r>
  <r>
    <n v="1790"/>
    <s v="Emp_790"/>
    <x v="2"/>
    <x v="0"/>
    <x v="2"/>
    <x v="0"/>
    <n v="33"/>
    <n v="76893"/>
    <n v="12410"/>
    <x v="0"/>
    <n v="89303"/>
  </r>
  <r>
    <n v="1791"/>
    <s v="Emp_791"/>
    <x v="5"/>
    <x v="0"/>
    <x v="2"/>
    <x v="3"/>
    <n v="57"/>
    <n v="90641"/>
    <n v="20926"/>
    <x v="0"/>
    <n v="111567"/>
  </r>
  <r>
    <n v="1792"/>
    <s v="Emp_792"/>
    <x v="1"/>
    <x v="0"/>
    <x v="4"/>
    <x v="0"/>
    <n v="42"/>
    <n v="88049"/>
    <n v="20500"/>
    <x v="1"/>
    <n v="108549"/>
  </r>
  <r>
    <n v="1793"/>
    <s v="Emp_793"/>
    <x v="4"/>
    <x v="0"/>
    <x v="2"/>
    <x v="2"/>
    <n v="27"/>
    <n v="78182"/>
    <n v="6480"/>
    <x v="0"/>
    <n v="84662"/>
  </r>
  <r>
    <n v="1794"/>
    <s v="Emp_794"/>
    <x v="0"/>
    <x v="0"/>
    <x v="0"/>
    <x v="1"/>
    <n v="24"/>
    <n v="22801"/>
    <n v="14271"/>
    <x v="1"/>
    <n v="37072"/>
  </r>
  <r>
    <n v="1795"/>
    <s v="Emp_795"/>
    <x v="5"/>
    <x v="0"/>
    <x v="0"/>
    <x v="0"/>
    <n v="31"/>
    <n v="117881"/>
    <n v="8598"/>
    <x v="0"/>
    <n v="126479"/>
  </r>
  <r>
    <n v="1796"/>
    <s v="Emp_796"/>
    <x v="1"/>
    <x v="0"/>
    <x v="4"/>
    <x v="0"/>
    <n v="26"/>
    <n v="99431"/>
    <n v="20032"/>
    <x v="0"/>
    <n v="119463"/>
  </r>
  <r>
    <n v="1797"/>
    <s v="Emp_797"/>
    <x v="1"/>
    <x v="1"/>
    <x v="2"/>
    <x v="1"/>
    <n v="47"/>
    <n v="59749"/>
    <n v="12993"/>
    <x v="0"/>
    <n v="72742"/>
  </r>
  <r>
    <n v="1798"/>
    <s v="Emp_798"/>
    <x v="4"/>
    <x v="1"/>
    <x v="0"/>
    <x v="3"/>
    <n v="42"/>
    <n v="93757"/>
    <n v="25567"/>
    <x v="0"/>
    <n v="119324"/>
  </r>
  <r>
    <n v="1799"/>
    <s v="Emp_799"/>
    <x v="2"/>
    <x v="1"/>
    <x v="0"/>
    <x v="0"/>
    <n v="47"/>
    <n v="75654"/>
    <n v="25064"/>
    <x v="0"/>
    <n v="100718"/>
  </r>
  <r>
    <n v="1800"/>
    <s v="Emp_800"/>
    <x v="1"/>
    <x v="2"/>
    <x v="3"/>
    <x v="1"/>
    <n v="59"/>
    <n v="91574"/>
    <n v="15895"/>
    <x v="0"/>
    <n v="107469"/>
  </r>
  <r>
    <n v="1801"/>
    <s v="Emp_801"/>
    <x v="1"/>
    <x v="0"/>
    <x v="3"/>
    <x v="3"/>
    <n v="47"/>
    <n v="117567"/>
    <n v="20367"/>
    <x v="1"/>
    <n v="137934"/>
  </r>
  <r>
    <n v="1802"/>
    <s v="Emp_802"/>
    <x v="1"/>
    <x v="1"/>
    <x v="0"/>
    <x v="2"/>
    <n v="29"/>
    <n v="75381"/>
    <n v="12644"/>
    <x v="0"/>
    <n v="88025"/>
  </r>
  <r>
    <n v="1803"/>
    <s v="Emp_803"/>
    <x v="1"/>
    <x v="1"/>
    <x v="4"/>
    <x v="1"/>
    <n v="26"/>
    <n v="78601"/>
    <n v="25694"/>
    <x v="1"/>
    <n v="104295"/>
  </r>
  <r>
    <n v="1804"/>
    <s v="Emp_804"/>
    <x v="3"/>
    <x v="1"/>
    <x v="1"/>
    <x v="0"/>
    <n v="36"/>
    <n v="35082"/>
    <n v="16948"/>
    <x v="0"/>
    <n v="52030"/>
  </r>
  <r>
    <n v="1805"/>
    <s v="Emp_805"/>
    <x v="3"/>
    <x v="0"/>
    <x v="1"/>
    <x v="2"/>
    <n v="37"/>
    <n v="34648"/>
    <n v="23142"/>
    <x v="0"/>
    <n v="57790"/>
  </r>
  <r>
    <n v="1806"/>
    <s v="Emp_806"/>
    <x v="2"/>
    <x v="1"/>
    <x v="0"/>
    <x v="3"/>
    <n v="22"/>
    <n v="20364"/>
    <n v="7599"/>
    <x v="0"/>
    <n v="27963"/>
  </r>
  <r>
    <n v="1807"/>
    <s v="Emp_807"/>
    <x v="5"/>
    <x v="1"/>
    <x v="0"/>
    <x v="3"/>
    <n v="37"/>
    <n v="54568"/>
    <n v="27000"/>
    <x v="0"/>
    <n v="81568"/>
  </r>
  <r>
    <n v="1808"/>
    <s v="Emp_808"/>
    <x v="1"/>
    <x v="0"/>
    <x v="0"/>
    <x v="1"/>
    <n v="58"/>
    <n v="99646"/>
    <n v="10813"/>
    <x v="1"/>
    <n v="110459"/>
  </r>
  <r>
    <n v="1809"/>
    <s v="Emp_809"/>
    <x v="4"/>
    <x v="1"/>
    <x v="4"/>
    <x v="1"/>
    <n v="24"/>
    <n v="91494"/>
    <n v="8853"/>
    <x v="0"/>
    <n v="100347"/>
  </r>
  <r>
    <n v="1810"/>
    <s v="Emp_810"/>
    <x v="5"/>
    <x v="0"/>
    <x v="3"/>
    <x v="1"/>
    <n v="52"/>
    <n v="94632"/>
    <n v="23676"/>
    <x v="0"/>
    <n v="118308"/>
  </r>
  <r>
    <n v="1811"/>
    <s v="Emp_811"/>
    <x v="4"/>
    <x v="0"/>
    <x v="0"/>
    <x v="3"/>
    <n v="34"/>
    <n v="27436"/>
    <n v="6501"/>
    <x v="0"/>
    <n v="33937"/>
  </r>
  <r>
    <n v="1812"/>
    <s v="Emp_812"/>
    <x v="5"/>
    <x v="0"/>
    <x v="0"/>
    <x v="2"/>
    <n v="37"/>
    <n v="106713"/>
    <n v="13422"/>
    <x v="0"/>
    <n v="120135"/>
  </r>
  <r>
    <n v="1813"/>
    <s v="Emp_813"/>
    <x v="2"/>
    <x v="1"/>
    <x v="2"/>
    <x v="3"/>
    <n v="42"/>
    <n v="46754"/>
    <n v="12550"/>
    <x v="0"/>
    <n v="59304"/>
  </r>
  <r>
    <n v="1814"/>
    <s v="Emp_814"/>
    <x v="1"/>
    <x v="1"/>
    <x v="4"/>
    <x v="0"/>
    <n v="23"/>
    <n v="80194"/>
    <n v="9250"/>
    <x v="2"/>
    <n v="89444"/>
  </r>
  <r>
    <n v="1815"/>
    <s v="Emp_815"/>
    <x v="1"/>
    <x v="0"/>
    <x v="0"/>
    <x v="3"/>
    <n v="48"/>
    <n v="44544"/>
    <n v="11991"/>
    <x v="0"/>
    <n v="56535"/>
  </r>
  <r>
    <n v="1816"/>
    <s v="Emp_816"/>
    <x v="0"/>
    <x v="1"/>
    <x v="2"/>
    <x v="0"/>
    <n v="59"/>
    <n v="80180"/>
    <n v="21498"/>
    <x v="0"/>
    <n v="101678"/>
  </r>
  <r>
    <n v="1817"/>
    <s v="Emp_817"/>
    <x v="6"/>
    <x v="1"/>
    <x v="1"/>
    <x v="2"/>
    <n v="47"/>
    <n v="83295"/>
    <n v="9406"/>
    <x v="2"/>
    <n v="92701"/>
  </r>
  <r>
    <n v="1818"/>
    <s v="Emp_818"/>
    <x v="5"/>
    <x v="1"/>
    <x v="0"/>
    <x v="1"/>
    <n v="59"/>
    <n v="32638"/>
    <n v="23731"/>
    <x v="1"/>
    <n v="56369"/>
  </r>
  <r>
    <n v="1819"/>
    <s v="Emp_819"/>
    <x v="5"/>
    <x v="1"/>
    <x v="0"/>
    <x v="1"/>
    <n v="46"/>
    <n v="85715"/>
    <n v="6041"/>
    <x v="1"/>
    <n v="91756"/>
  </r>
  <r>
    <n v="1820"/>
    <s v="Emp_820"/>
    <x v="6"/>
    <x v="0"/>
    <x v="2"/>
    <x v="3"/>
    <n v="32"/>
    <n v="89409"/>
    <n v="11927"/>
    <x v="0"/>
    <n v="101336"/>
  </r>
  <r>
    <n v="1821"/>
    <s v="Emp_821"/>
    <x v="0"/>
    <x v="1"/>
    <x v="4"/>
    <x v="1"/>
    <n v="29"/>
    <n v="103106"/>
    <n v="21395"/>
    <x v="1"/>
    <n v="124501"/>
  </r>
  <r>
    <n v="1822"/>
    <s v="Emp_822"/>
    <x v="6"/>
    <x v="0"/>
    <x v="0"/>
    <x v="2"/>
    <n v="29"/>
    <n v="37157"/>
    <n v="29364"/>
    <x v="2"/>
    <n v="66521"/>
  </r>
  <r>
    <n v="1823"/>
    <s v="Emp_823"/>
    <x v="3"/>
    <x v="0"/>
    <x v="1"/>
    <x v="1"/>
    <n v="54"/>
    <n v="65565"/>
    <n v="12871"/>
    <x v="0"/>
    <n v="78436"/>
  </r>
  <r>
    <n v="1824"/>
    <s v="Emp_824"/>
    <x v="3"/>
    <x v="1"/>
    <x v="0"/>
    <x v="3"/>
    <n v="28"/>
    <n v="89996"/>
    <n v="11375"/>
    <x v="0"/>
    <n v="101371"/>
  </r>
  <r>
    <n v="1825"/>
    <s v="Emp_825"/>
    <x v="4"/>
    <x v="0"/>
    <x v="1"/>
    <x v="2"/>
    <n v="59"/>
    <n v="85888"/>
    <n v="28482"/>
    <x v="0"/>
    <n v="114370"/>
  </r>
  <r>
    <n v="1826"/>
    <s v="Emp_826"/>
    <x v="4"/>
    <x v="1"/>
    <x v="3"/>
    <x v="0"/>
    <n v="42"/>
    <n v="76095"/>
    <n v="8676"/>
    <x v="0"/>
    <n v="84771"/>
  </r>
  <r>
    <n v="1827"/>
    <s v="Emp_827"/>
    <x v="2"/>
    <x v="1"/>
    <x v="3"/>
    <x v="3"/>
    <n v="29"/>
    <n v="84947"/>
    <n v="27493"/>
    <x v="1"/>
    <n v="112440"/>
  </r>
  <r>
    <n v="1828"/>
    <s v="Emp_828"/>
    <x v="2"/>
    <x v="0"/>
    <x v="1"/>
    <x v="0"/>
    <n v="42"/>
    <n v="69554.53"/>
    <n v="18017"/>
    <x v="0"/>
    <n v="87571.53"/>
  </r>
  <r>
    <n v="1829"/>
    <s v="Emp_829"/>
    <x v="3"/>
    <x v="0"/>
    <x v="4"/>
    <x v="2"/>
    <n v="41"/>
    <n v="90880"/>
    <n v="26781"/>
    <x v="0"/>
    <n v="117661"/>
  </r>
  <r>
    <n v="1830"/>
    <s v="Emp_830"/>
    <x v="0"/>
    <x v="0"/>
    <x v="0"/>
    <x v="3"/>
    <n v="29"/>
    <n v="24507"/>
    <n v="8065"/>
    <x v="0"/>
    <n v="32572"/>
  </r>
  <r>
    <n v="1831"/>
    <s v="Emp_831"/>
    <x v="5"/>
    <x v="0"/>
    <x v="0"/>
    <x v="3"/>
    <n v="52"/>
    <n v="63988"/>
    <n v="7036"/>
    <x v="0"/>
    <n v="71024"/>
  </r>
  <r>
    <n v="1832"/>
    <s v="Emp_832"/>
    <x v="4"/>
    <x v="1"/>
    <x v="3"/>
    <x v="2"/>
    <n v="50"/>
    <n v="118421"/>
    <n v="8046"/>
    <x v="1"/>
    <n v="126467"/>
  </r>
  <r>
    <n v="1833"/>
    <s v="Emp_833"/>
    <x v="0"/>
    <x v="1"/>
    <x v="1"/>
    <x v="1"/>
    <n v="30"/>
    <n v="36865"/>
    <n v="21924"/>
    <x v="0"/>
    <n v="58789"/>
  </r>
  <r>
    <n v="1834"/>
    <s v="Emp_834"/>
    <x v="1"/>
    <x v="1"/>
    <x v="0"/>
    <x v="3"/>
    <n v="36"/>
    <n v="47213"/>
    <n v="5076"/>
    <x v="1"/>
    <n v="52289"/>
  </r>
  <r>
    <n v="1835"/>
    <s v="Emp_835"/>
    <x v="4"/>
    <x v="0"/>
    <x v="0"/>
    <x v="3"/>
    <n v="51"/>
    <n v="75954"/>
    <n v="24451"/>
    <x v="1"/>
    <n v="100405"/>
  </r>
  <r>
    <n v="1836"/>
    <s v="Emp_836"/>
    <x v="4"/>
    <x v="0"/>
    <x v="4"/>
    <x v="0"/>
    <n v="47"/>
    <n v="77450"/>
    <n v="20880"/>
    <x v="0"/>
    <n v="98330"/>
  </r>
  <r>
    <n v="1837"/>
    <s v="Emp_837"/>
    <x v="2"/>
    <x v="0"/>
    <x v="2"/>
    <x v="1"/>
    <n v="31"/>
    <n v="24477"/>
    <n v="21407"/>
    <x v="0"/>
    <n v="45884"/>
  </r>
  <r>
    <n v="1838"/>
    <s v="Emp_838"/>
    <x v="5"/>
    <x v="2"/>
    <x v="3"/>
    <x v="0"/>
    <n v="50"/>
    <n v="82222"/>
    <n v="26518"/>
    <x v="0"/>
    <n v="108740"/>
  </r>
  <r>
    <n v="1839"/>
    <s v="Emp_839"/>
    <x v="5"/>
    <x v="0"/>
    <x v="3"/>
    <x v="0"/>
    <n v="37"/>
    <n v="26533"/>
    <n v="22059"/>
    <x v="0"/>
    <n v="48592"/>
  </r>
  <r>
    <n v="1840"/>
    <s v="Emp_840"/>
    <x v="1"/>
    <x v="1"/>
    <x v="2"/>
    <x v="1"/>
    <n v="57"/>
    <n v="69395"/>
    <n v="28052"/>
    <x v="0"/>
    <n v="97447"/>
  </r>
  <r>
    <n v="1841"/>
    <s v="Emp_841"/>
    <x v="1"/>
    <x v="0"/>
    <x v="0"/>
    <x v="1"/>
    <n v="41"/>
    <n v="43396"/>
    <n v="9267"/>
    <x v="0"/>
    <n v="52663"/>
  </r>
  <r>
    <n v="1842"/>
    <s v="Emp_842"/>
    <x v="4"/>
    <x v="1"/>
    <x v="4"/>
    <x v="2"/>
    <n v="58"/>
    <n v="32755"/>
    <n v="10988"/>
    <x v="0"/>
    <n v="43743"/>
  </r>
  <r>
    <n v="1843"/>
    <s v="Emp_843"/>
    <x v="3"/>
    <x v="1"/>
    <x v="4"/>
    <x v="1"/>
    <n v="43"/>
    <n v="20865"/>
    <n v="29036"/>
    <x v="0"/>
    <n v="49901"/>
  </r>
  <r>
    <n v="1844"/>
    <s v="Emp_844"/>
    <x v="2"/>
    <x v="0"/>
    <x v="3"/>
    <x v="3"/>
    <n v="28"/>
    <n v="31173"/>
    <n v="13680"/>
    <x v="0"/>
    <n v="44853"/>
  </r>
  <r>
    <n v="1845"/>
    <s v="Emp_845"/>
    <x v="2"/>
    <x v="0"/>
    <x v="4"/>
    <x v="1"/>
    <n v="44"/>
    <n v="78905"/>
    <n v="6485"/>
    <x v="0"/>
    <n v="85390"/>
  </r>
  <r>
    <n v="1846"/>
    <s v="Emp_846"/>
    <x v="4"/>
    <x v="1"/>
    <x v="2"/>
    <x v="2"/>
    <n v="50"/>
    <n v="58097"/>
    <n v="19713"/>
    <x v="0"/>
    <n v="77810"/>
  </r>
  <r>
    <n v="1847"/>
    <s v="Emp_847"/>
    <x v="0"/>
    <x v="1"/>
    <x v="0"/>
    <x v="2"/>
    <n v="37"/>
    <n v="53371"/>
    <n v="25043"/>
    <x v="0"/>
    <n v="78414"/>
  </r>
  <r>
    <n v="1848"/>
    <s v="Emp_848"/>
    <x v="3"/>
    <x v="0"/>
    <x v="2"/>
    <x v="2"/>
    <n v="59"/>
    <n v="31254"/>
    <n v="7419"/>
    <x v="0"/>
    <n v="38673"/>
  </r>
  <r>
    <n v="1849"/>
    <s v="Emp_849"/>
    <x v="4"/>
    <x v="0"/>
    <x v="1"/>
    <x v="1"/>
    <n v="49"/>
    <n v="24018"/>
    <n v="29124"/>
    <x v="0"/>
    <n v="53142"/>
  </r>
  <r>
    <n v="1850"/>
    <s v="Emp_850"/>
    <x v="3"/>
    <x v="1"/>
    <x v="3"/>
    <x v="1"/>
    <n v="59"/>
    <n v="25192"/>
    <n v="28527"/>
    <x v="0"/>
    <n v="53719"/>
  </r>
  <r>
    <n v="1851"/>
    <s v="Emp_851"/>
    <x v="3"/>
    <x v="0"/>
    <x v="4"/>
    <x v="0"/>
    <n v="52"/>
    <n v="22015"/>
    <n v="20312"/>
    <x v="0"/>
    <n v="42327"/>
  </r>
  <r>
    <n v="1852"/>
    <s v="Emp_852"/>
    <x v="3"/>
    <x v="1"/>
    <x v="1"/>
    <x v="0"/>
    <n v="35"/>
    <n v="88916"/>
    <n v="8495"/>
    <x v="0"/>
    <n v="97411"/>
  </r>
  <r>
    <n v="1853"/>
    <s v="Emp_853"/>
    <x v="4"/>
    <x v="1"/>
    <x v="4"/>
    <x v="3"/>
    <n v="54"/>
    <n v="48343"/>
    <n v="22140"/>
    <x v="0"/>
    <n v="70483"/>
  </r>
  <r>
    <n v="1854"/>
    <s v="Emp_854"/>
    <x v="2"/>
    <x v="0"/>
    <x v="0"/>
    <x v="0"/>
    <n v="30"/>
    <n v="89306"/>
    <n v="15716"/>
    <x v="0"/>
    <n v="105022"/>
  </r>
  <r>
    <n v="1855"/>
    <s v="Emp_855"/>
    <x v="2"/>
    <x v="0"/>
    <x v="0"/>
    <x v="3"/>
    <n v="48"/>
    <n v="25829"/>
    <n v="17442"/>
    <x v="0"/>
    <n v="43271"/>
  </r>
  <r>
    <n v="1856"/>
    <s v="Emp_856"/>
    <x v="3"/>
    <x v="0"/>
    <x v="0"/>
    <x v="2"/>
    <n v="45"/>
    <n v="54381"/>
    <n v="29832"/>
    <x v="0"/>
    <n v="84213"/>
  </r>
  <r>
    <n v="1857"/>
    <s v="Emp_857"/>
    <x v="0"/>
    <x v="0"/>
    <x v="4"/>
    <x v="0"/>
    <n v="34"/>
    <n v="101081"/>
    <n v="23163"/>
    <x v="0"/>
    <n v="124244"/>
  </r>
  <r>
    <n v="1858"/>
    <s v="Emp_858"/>
    <x v="5"/>
    <x v="0"/>
    <x v="1"/>
    <x v="1"/>
    <n v="47"/>
    <n v="38263"/>
    <n v="17961"/>
    <x v="0"/>
    <n v="56224"/>
  </r>
  <r>
    <n v="1859"/>
    <s v="Emp_859"/>
    <x v="4"/>
    <x v="1"/>
    <x v="0"/>
    <x v="0"/>
    <n v="50"/>
    <n v="73260"/>
    <n v="15307"/>
    <x v="1"/>
    <n v="88567"/>
  </r>
  <r>
    <n v="1860"/>
    <s v="Emp_860"/>
    <x v="5"/>
    <x v="1"/>
    <x v="1"/>
    <x v="3"/>
    <n v="49"/>
    <n v="63306"/>
    <n v="11487"/>
    <x v="0"/>
    <n v="74793"/>
  </r>
  <r>
    <n v="1861"/>
    <s v="Emp_861"/>
    <x v="0"/>
    <x v="0"/>
    <x v="4"/>
    <x v="0"/>
    <n v="49"/>
    <n v="111211"/>
    <n v="14664"/>
    <x v="0"/>
    <n v="125875"/>
  </r>
  <r>
    <n v="1862"/>
    <s v="Emp_862"/>
    <x v="4"/>
    <x v="0"/>
    <x v="1"/>
    <x v="2"/>
    <n v="29"/>
    <n v="78418"/>
    <n v="21360"/>
    <x v="0"/>
    <n v="99778"/>
  </r>
  <r>
    <n v="1863"/>
    <s v="Emp_863"/>
    <x v="3"/>
    <x v="0"/>
    <x v="4"/>
    <x v="1"/>
    <n v="44"/>
    <n v="110898"/>
    <n v="21642"/>
    <x v="0"/>
    <n v="132540"/>
  </r>
  <r>
    <n v="1864"/>
    <s v="Emp_864"/>
    <x v="2"/>
    <x v="1"/>
    <x v="4"/>
    <x v="3"/>
    <n v="50"/>
    <n v="20148"/>
    <n v="9075"/>
    <x v="0"/>
    <n v="29223"/>
  </r>
  <r>
    <n v="1865"/>
    <s v="Emp_865"/>
    <x v="5"/>
    <x v="0"/>
    <x v="3"/>
    <x v="1"/>
    <n v="26"/>
    <n v="21754"/>
    <n v="29882"/>
    <x v="0"/>
    <n v="51636"/>
  </r>
  <r>
    <n v="1866"/>
    <s v="Emp_866"/>
    <x v="1"/>
    <x v="0"/>
    <x v="4"/>
    <x v="1"/>
    <n v="28"/>
    <n v="46745"/>
    <n v="29398"/>
    <x v="1"/>
    <n v="76143"/>
  </r>
  <r>
    <n v="1867"/>
    <s v="Emp_867"/>
    <x v="1"/>
    <x v="1"/>
    <x v="4"/>
    <x v="3"/>
    <n v="57"/>
    <n v="92914"/>
    <n v="22502"/>
    <x v="0"/>
    <n v="115416"/>
  </r>
  <r>
    <n v="1868"/>
    <s v="Emp_868"/>
    <x v="0"/>
    <x v="1"/>
    <x v="2"/>
    <x v="1"/>
    <n v="48"/>
    <n v="75833"/>
    <n v="20285"/>
    <x v="0"/>
    <n v="96118"/>
  </r>
  <r>
    <n v="1869"/>
    <s v="Emp_869"/>
    <x v="3"/>
    <x v="0"/>
    <x v="0"/>
    <x v="1"/>
    <n v="23"/>
    <n v="40140"/>
    <n v="12631"/>
    <x v="0"/>
    <n v="52771"/>
  </r>
  <r>
    <n v="1870"/>
    <s v="Emp_870"/>
    <x v="5"/>
    <x v="0"/>
    <x v="3"/>
    <x v="0"/>
    <n v="46"/>
    <n v="94907"/>
    <n v="8017"/>
    <x v="1"/>
    <n v="102924"/>
  </r>
  <r>
    <n v="1871"/>
    <s v="Emp_871"/>
    <x v="3"/>
    <x v="0"/>
    <x v="3"/>
    <x v="1"/>
    <n v="30"/>
    <n v="80653"/>
    <n v="25725"/>
    <x v="0"/>
    <n v="106378"/>
  </r>
  <r>
    <n v="1872"/>
    <s v="Emp_872"/>
    <x v="5"/>
    <x v="1"/>
    <x v="3"/>
    <x v="1"/>
    <n v="48"/>
    <n v="112535"/>
    <n v="23042"/>
    <x v="1"/>
    <n v="135577"/>
  </r>
  <r>
    <n v="1873"/>
    <s v="Emp_873"/>
    <x v="0"/>
    <x v="0"/>
    <x v="2"/>
    <x v="1"/>
    <n v="22"/>
    <n v="81521"/>
    <n v="29762"/>
    <x v="0"/>
    <n v="111283"/>
  </r>
  <r>
    <n v="1874"/>
    <s v="Emp_874"/>
    <x v="0"/>
    <x v="0"/>
    <x v="4"/>
    <x v="1"/>
    <n v="44"/>
    <n v="98315"/>
    <n v="23181"/>
    <x v="1"/>
    <n v="121496"/>
  </r>
  <r>
    <n v="1875"/>
    <s v="Emp_875"/>
    <x v="1"/>
    <x v="0"/>
    <x v="0"/>
    <x v="3"/>
    <n v="31"/>
    <n v="51075"/>
    <n v="5784"/>
    <x v="0"/>
    <n v="56859"/>
  </r>
  <r>
    <n v="1876"/>
    <s v="Emp_876"/>
    <x v="3"/>
    <x v="1"/>
    <x v="1"/>
    <x v="2"/>
    <n v="46"/>
    <n v="50697"/>
    <n v="10691"/>
    <x v="0"/>
    <n v="61388"/>
  </r>
  <r>
    <n v="1877"/>
    <s v="Emp_877"/>
    <x v="4"/>
    <x v="1"/>
    <x v="4"/>
    <x v="0"/>
    <n v="24"/>
    <n v="74544"/>
    <n v="20765"/>
    <x v="0"/>
    <n v="95309"/>
  </r>
  <r>
    <n v="1878"/>
    <s v="Emp_878"/>
    <x v="1"/>
    <x v="0"/>
    <x v="2"/>
    <x v="1"/>
    <n v="27"/>
    <n v="29795"/>
    <n v="8196"/>
    <x v="1"/>
    <n v="37991"/>
  </r>
  <r>
    <n v="1879"/>
    <s v="Emp_879"/>
    <x v="3"/>
    <x v="0"/>
    <x v="4"/>
    <x v="1"/>
    <n v="27"/>
    <n v="84555"/>
    <n v="14552"/>
    <x v="0"/>
    <n v="99107"/>
  </r>
  <r>
    <n v="1880"/>
    <s v="Emp_880"/>
    <x v="1"/>
    <x v="1"/>
    <x v="4"/>
    <x v="3"/>
    <n v="23"/>
    <n v="72204"/>
    <n v="13532"/>
    <x v="1"/>
    <n v="85736"/>
  </r>
  <r>
    <n v="1881"/>
    <s v="Emp_881"/>
    <x v="4"/>
    <x v="1"/>
    <x v="2"/>
    <x v="2"/>
    <n v="39"/>
    <n v="89754"/>
    <n v="21946"/>
    <x v="0"/>
    <n v="111700"/>
  </r>
  <r>
    <n v="1882"/>
    <s v="Emp_882"/>
    <x v="2"/>
    <x v="1"/>
    <x v="3"/>
    <x v="1"/>
    <n v="44"/>
    <n v="84860"/>
    <n v="9746"/>
    <x v="0"/>
    <n v="94606"/>
  </r>
  <r>
    <n v="1883"/>
    <s v="Emp_883"/>
    <x v="2"/>
    <x v="1"/>
    <x v="3"/>
    <x v="3"/>
    <n v="23"/>
    <n v="71529"/>
    <n v="7999"/>
    <x v="0"/>
    <n v="79528"/>
  </r>
  <r>
    <n v="1884"/>
    <s v="Emp_884"/>
    <x v="2"/>
    <x v="1"/>
    <x v="0"/>
    <x v="0"/>
    <n v="33"/>
    <n v="31672"/>
    <n v="22577"/>
    <x v="0"/>
    <n v="54249"/>
  </r>
  <r>
    <n v="1885"/>
    <s v="Emp_885"/>
    <x v="2"/>
    <x v="1"/>
    <x v="0"/>
    <x v="0"/>
    <n v="43"/>
    <n v="74238"/>
    <n v="16302"/>
    <x v="1"/>
    <n v="90540"/>
  </r>
  <r>
    <n v="1886"/>
    <s v="Emp_886"/>
    <x v="5"/>
    <x v="1"/>
    <x v="3"/>
    <x v="1"/>
    <n v="58"/>
    <n v="116578"/>
    <n v="21452"/>
    <x v="0"/>
    <n v="138030"/>
  </r>
  <r>
    <n v="1887"/>
    <s v="Emp_887"/>
    <x v="2"/>
    <x v="1"/>
    <x v="1"/>
    <x v="1"/>
    <n v="41"/>
    <n v="55950"/>
    <n v="20595"/>
    <x v="0"/>
    <n v="76545"/>
  </r>
  <r>
    <n v="1888"/>
    <s v="Emp_888"/>
    <x v="4"/>
    <x v="1"/>
    <x v="4"/>
    <x v="2"/>
    <n v="45"/>
    <n v="31009"/>
    <n v="27063"/>
    <x v="0"/>
    <n v="58072"/>
  </r>
  <r>
    <n v="1889"/>
    <s v="Emp_889"/>
    <x v="0"/>
    <x v="0"/>
    <x v="1"/>
    <x v="2"/>
    <n v="41"/>
    <n v="67096"/>
    <n v="23812"/>
    <x v="0"/>
    <n v="90908"/>
  </r>
  <r>
    <n v="1890"/>
    <s v="Emp_890"/>
    <x v="0"/>
    <x v="0"/>
    <x v="4"/>
    <x v="1"/>
    <n v="22"/>
    <n v="39544"/>
    <n v="11200"/>
    <x v="0"/>
    <n v="50744"/>
  </r>
  <r>
    <n v="1891"/>
    <s v="Emp_891"/>
    <x v="6"/>
    <x v="0"/>
    <x v="3"/>
    <x v="3"/>
    <n v="22"/>
    <n v="75728"/>
    <n v="10396"/>
    <x v="1"/>
    <n v="86124"/>
  </r>
  <r>
    <n v="1892"/>
    <s v="Emp_892"/>
    <x v="2"/>
    <x v="1"/>
    <x v="0"/>
    <x v="2"/>
    <n v="38"/>
    <n v="49381"/>
    <n v="28377"/>
    <x v="0"/>
    <n v="77758"/>
  </r>
  <r>
    <n v="1893"/>
    <s v="Emp_893"/>
    <x v="2"/>
    <x v="0"/>
    <x v="0"/>
    <x v="1"/>
    <n v="22"/>
    <n v="45287"/>
    <n v="18410"/>
    <x v="0"/>
    <n v="63697"/>
  </r>
  <r>
    <n v="1894"/>
    <s v="Emp_894"/>
    <x v="2"/>
    <x v="1"/>
    <x v="1"/>
    <x v="2"/>
    <n v="51"/>
    <n v="84610"/>
    <n v="18203"/>
    <x v="0"/>
    <n v="102813"/>
  </r>
  <r>
    <n v="1895"/>
    <s v="Emp_895"/>
    <x v="1"/>
    <x v="1"/>
    <x v="0"/>
    <x v="1"/>
    <n v="24"/>
    <n v="88122"/>
    <n v="8598"/>
    <x v="0"/>
    <n v="96720"/>
  </r>
  <r>
    <n v="1896"/>
    <s v="Emp_896"/>
    <x v="3"/>
    <x v="0"/>
    <x v="3"/>
    <x v="0"/>
    <n v="32"/>
    <n v="88184"/>
    <n v="15564"/>
    <x v="0"/>
    <n v="103748"/>
  </r>
  <r>
    <n v="1897"/>
    <s v="Emp_897"/>
    <x v="1"/>
    <x v="1"/>
    <x v="1"/>
    <x v="1"/>
    <n v="45"/>
    <n v="60081"/>
    <n v="17748"/>
    <x v="1"/>
    <n v="77829"/>
  </r>
  <r>
    <n v="1898"/>
    <s v="Emp_898"/>
    <x v="3"/>
    <x v="0"/>
    <x v="4"/>
    <x v="0"/>
    <n v="43"/>
    <n v="103637"/>
    <n v="21957"/>
    <x v="0"/>
    <n v="125594"/>
  </r>
  <r>
    <n v="1899"/>
    <s v="Emp_899"/>
    <x v="2"/>
    <x v="0"/>
    <x v="0"/>
    <x v="2"/>
    <n v="47"/>
    <n v="65312"/>
    <n v="25598"/>
    <x v="0"/>
    <n v="90910"/>
  </r>
  <r>
    <n v="1900"/>
    <s v="Emp_900"/>
    <x v="2"/>
    <x v="0"/>
    <x v="2"/>
    <x v="1"/>
    <n v="34"/>
    <n v="107228"/>
    <n v="12636"/>
    <x v="0"/>
    <n v="119864"/>
  </r>
  <r>
    <n v="1901"/>
    <s v="Emp_901"/>
    <x v="1"/>
    <x v="1"/>
    <x v="0"/>
    <x v="2"/>
    <n v="22"/>
    <n v="92943"/>
    <n v="22862"/>
    <x v="0"/>
    <n v="115805"/>
  </r>
  <r>
    <n v="1902"/>
    <s v="Emp_902"/>
    <x v="1"/>
    <x v="0"/>
    <x v="4"/>
    <x v="0"/>
    <n v="45"/>
    <n v="102790"/>
    <n v="15265"/>
    <x v="0"/>
    <n v="118055"/>
  </r>
  <r>
    <n v="1903"/>
    <s v="Emp_903"/>
    <x v="3"/>
    <x v="1"/>
    <x v="1"/>
    <x v="1"/>
    <n v="31"/>
    <n v="100770"/>
    <n v="14705"/>
    <x v="0"/>
    <n v="115475"/>
  </r>
  <r>
    <n v="1904"/>
    <s v="Emp_904"/>
    <x v="0"/>
    <x v="0"/>
    <x v="4"/>
    <x v="2"/>
    <n v="56"/>
    <n v="72726"/>
    <n v="27511"/>
    <x v="0"/>
    <n v="100237"/>
  </r>
  <r>
    <n v="1905"/>
    <s v="Emp_905"/>
    <x v="3"/>
    <x v="0"/>
    <x v="2"/>
    <x v="0"/>
    <n v="45"/>
    <n v="69554.53"/>
    <n v="19298"/>
    <x v="1"/>
    <n v="88852.53"/>
  </r>
  <r>
    <n v="1906"/>
    <s v="Emp_906"/>
    <x v="1"/>
    <x v="0"/>
    <x v="3"/>
    <x v="2"/>
    <n v="49"/>
    <n v="49480"/>
    <n v="28060"/>
    <x v="0"/>
    <n v="77540"/>
  </r>
  <r>
    <n v="1907"/>
    <s v="Emp_907"/>
    <x v="4"/>
    <x v="1"/>
    <x v="0"/>
    <x v="3"/>
    <n v="57"/>
    <n v="67780"/>
    <n v="23580"/>
    <x v="0"/>
    <n v="91360"/>
  </r>
  <r>
    <n v="1908"/>
    <s v="Emp_908"/>
    <x v="1"/>
    <x v="1"/>
    <x v="1"/>
    <x v="0"/>
    <n v="37"/>
    <n v="77138"/>
    <n v="14703"/>
    <x v="0"/>
    <n v="91841"/>
  </r>
  <r>
    <n v="1909"/>
    <s v="Emp_909"/>
    <x v="0"/>
    <x v="1"/>
    <x v="3"/>
    <x v="0"/>
    <n v="37"/>
    <n v="110382"/>
    <n v="18336"/>
    <x v="0"/>
    <n v="128718"/>
  </r>
  <r>
    <n v="1910"/>
    <s v="Emp_910"/>
    <x v="5"/>
    <x v="0"/>
    <x v="4"/>
    <x v="0"/>
    <n v="38"/>
    <n v="62503"/>
    <n v="13166"/>
    <x v="0"/>
    <n v="75669"/>
  </r>
  <r>
    <n v="1911"/>
    <s v="Emp_911"/>
    <x v="1"/>
    <x v="0"/>
    <x v="1"/>
    <x v="1"/>
    <n v="36"/>
    <n v="77893"/>
    <n v="21116"/>
    <x v="1"/>
    <n v="99009"/>
  </r>
  <r>
    <n v="1912"/>
    <s v="Emp_912"/>
    <x v="5"/>
    <x v="1"/>
    <x v="3"/>
    <x v="1"/>
    <n v="37"/>
    <n v="66193"/>
    <n v="11050"/>
    <x v="0"/>
    <n v="77243"/>
  </r>
  <r>
    <n v="1913"/>
    <s v="Emp_913"/>
    <x v="0"/>
    <x v="1"/>
    <x v="1"/>
    <x v="1"/>
    <n v="36"/>
    <n v="81358"/>
    <n v="16184"/>
    <x v="0"/>
    <n v="97542"/>
  </r>
  <r>
    <n v="1914"/>
    <s v="Emp_914"/>
    <x v="3"/>
    <x v="1"/>
    <x v="2"/>
    <x v="3"/>
    <n v="55"/>
    <n v="100857"/>
    <n v="26034"/>
    <x v="0"/>
    <n v="126891"/>
  </r>
  <r>
    <n v="1915"/>
    <s v="Emp_915"/>
    <x v="4"/>
    <x v="1"/>
    <x v="2"/>
    <x v="3"/>
    <n v="32"/>
    <n v="98182"/>
    <n v="17712"/>
    <x v="0"/>
    <n v="115894"/>
  </r>
  <r>
    <n v="1916"/>
    <s v="Emp_916"/>
    <x v="3"/>
    <x v="1"/>
    <x v="0"/>
    <x v="0"/>
    <n v="22"/>
    <n v="42117"/>
    <n v="13484"/>
    <x v="0"/>
    <n v="55601"/>
  </r>
  <r>
    <n v="1917"/>
    <s v="Emp_917"/>
    <x v="5"/>
    <x v="1"/>
    <x v="0"/>
    <x v="3"/>
    <n v="36"/>
    <n v="79056"/>
    <n v="25910"/>
    <x v="1"/>
    <n v="104966"/>
  </r>
  <r>
    <n v="1918"/>
    <s v="Emp_918"/>
    <x v="4"/>
    <x v="0"/>
    <x v="2"/>
    <x v="2"/>
    <n v="47"/>
    <n v="78706"/>
    <n v="25796"/>
    <x v="0"/>
    <n v="104502"/>
  </r>
  <r>
    <n v="1919"/>
    <s v="Emp_919"/>
    <x v="3"/>
    <x v="1"/>
    <x v="1"/>
    <x v="0"/>
    <n v="25"/>
    <n v="90429"/>
    <n v="26827"/>
    <x v="0"/>
    <n v="117256"/>
  </r>
  <r>
    <n v="1920"/>
    <s v="Emp_920"/>
    <x v="1"/>
    <x v="0"/>
    <x v="2"/>
    <x v="0"/>
    <n v="26"/>
    <n v="29476"/>
    <n v="7593"/>
    <x v="0"/>
    <n v="37069"/>
  </r>
  <r>
    <n v="1921"/>
    <s v="Emp_921"/>
    <x v="2"/>
    <x v="0"/>
    <x v="0"/>
    <x v="2"/>
    <n v="56"/>
    <n v="102806"/>
    <n v="15315"/>
    <x v="0"/>
    <n v="118121"/>
  </r>
  <r>
    <n v="1922"/>
    <s v="Emp_922"/>
    <x v="5"/>
    <x v="1"/>
    <x v="2"/>
    <x v="0"/>
    <n v="34"/>
    <n v="75006"/>
    <n v="20200"/>
    <x v="0"/>
    <n v="95206"/>
  </r>
  <r>
    <n v="1923"/>
    <s v="Emp_923"/>
    <x v="3"/>
    <x v="2"/>
    <x v="2"/>
    <x v="3"/>
    <n v="31"/>
    <n v="107238"/>
    <n v="14107"/>
    <x v="0"/>
    <n v="121345"/>
  </r>
  <r>
    <n v="1924"/>
    <s v="Emp_924"/>
    <x v="5"/>
    <x v="0"/>
    <x v="1"/>
    <x v="1"/>
    <n v="32"/>
    <n v="89918"/>
    <n v="28236"/>
    <x v="0"/>
    <n v="118154"/>
  </r>
  <r>
    <n v="1925"/>
    <s v="Emp_925"/>
    <x v="5"/>
    <x v="1"/>
    <x v="3"/>
    <x v="2"/>
    <n v="39"/>
    <n v="83155"/>
    <n v="28013"/>
    <x v="0"/>
    <n v="111168"/>
  </r>
  <r>
    <n v="1926"/>
    <s v="Emp_926"/>
    <x v="4"/>
    <x v="1"/>
    <x v="0"/>
    <x v="3"/>
    <n v="55"/>
    <n v="87321"/>
    <n v="8869"/>
    <x v="0"/>
    <n v="96190"/>
  </r>
  <r>
    <n v="1927"/>
    <s v="Emp_927"/>
    <x v="4"/>
    <x v="0"/>
    <x v="1"/>
    <x v="2"/>
    <n v="44"/>
    <n v="65798"/>
    <n v="20447"/>
    <x v="0"/>
    <n v="86245"/>
  </r>
  <r>
    <n v="1928"/>
    <s v="Emp_928"/>
    <x v="2"/>
    <x v="0"/>
    <x v="2"/>
    <x v="2"/>
    <n v="28"/>
    <n v="97271"/>
    <n v="12971"/>
    <x v="0"/>
    <n v="110242"/>
  </r>
  <r>
    <n v="1929"/>
    <s v="Emp_929"/>
    <x v="1"/>
    <x v="0"/>
    <x v="2"/>
    <x v="0"/>
    <n v="24"/>
    <n v="50177"/>
    <n v="29206"/>
    <x v="0"/>
    <n v="79383"/>
  </r>
  <r>
    <n v="1930"/>
    <s v="Emp_930"/>
    <x v="5"/>
    <x v="1"/>
    <x v="3"/>
    <x v="0"/>
    <n v="33"/>
    <n v="116248"/>
    <n v="7989"/>
    <x v="0"/>
    <n v="124237"/>
  </r>
  <r>
    <n v="1931"/>
    <s v="Emp_931"/>
    <x v="3"/>
    <x v="0"/>
    <x v="0"/>
    <x v="3"/>
    <n v="28"/>
    <n v="102215"/>
    <n v="28446"/>
    <x v="0"/>
    <n v="130661"/>
  </r>
  <r>
    <n v="1932"/>
    <s v="Emp_932"/>
    <x v="0"/>
    <x v="1"/>
    <x v="0"/>
    <x v="2"/>
    <n v="47"/>
    <n v="63013"/>
    <n v="10340"/>
    <x v="1"/>
    <n v="73353"/>
  </r>
  <r>
    <n v="1933"/>
    <s v="Emp_933"/>
    <x v="5"/>
    <x v="0"/>
    <x v="4"/>
    <x v="0"/>
    <n v="54"/>
    <n v="102600"/>
    <n v="14643"/>
    <x v="1"/>
    <n v="117243"/>
  </r>
  <r>
    <n v="1934"/>
    <s v="Emp_934"/>
    <x v="5"/>
    <x v="0"/>
    <x v="0"/>
    <x v="0"/>
    <n v="58"/>
    <n v="116099"/>
    <n v="8823"/>
    <x v="1"/>
    <n v="124922"/>
  </r>
  <r>
    <n v="1935"/>
    <s v="Emp_935"/>
    <x v="2"/>
    <x v="0"/>
    <x v="3"/>
    <x v="2"/>
    <n v="36"/>
    <n v="73450"/>
    <n v="18454"/>
    <x v="0"/>
    <n v="91904"/>
  </r>
  <r>
    <n v="1936"/>
    <s v="Emp_936"/>
    <x v="1"/>
    <x v="1"/>
    <x v="4"/>
    <x v="3"/>
    <n v="23"/>
    <n v="118628"/>
    <n v="8932"/>
    <x v="1"/>
    <n v="127560"/>
  </r>
  <r>
    <n v="1937"/>
    <s v="Emp_937"/>
    <x v="0"/>
    <x v="1"/>
    <x v="4"/>
    <x v="3"/>
    <n v="28"/>
    <n v="67928"/>
    <n v="15220"/>
    <x v="1"/>
    <n v="83148"/>
  </r>
  <r>
    <n v="1938"/>
    <s v="Emp_938"/>
    <x v="4"/>
    <x v="0"/>
    <x v="2"/>
    <x v="2"/>
    <n v="53"/>
    <n v="112403"/>
    <n v="13554"/>
    <x v="0"/>
    <n v="125957"/>
  </r>
  <r>
    <n v="1939"/>
    <s v="Emp_939"/>
    <x v="4"/>
    <x v="0"/>
    <x v="2"/>
    <x v="3"/>
    <n v="25"/>
    <n v="65382"/>
    <n v="7429"/>
    <x v="0"/>
    <n v="72811"/>
  </r>
  <r>
    <n v="1940"/>
    <s v="Emp_940"/>
    <x v="3"/>
    <x v="0"/>
    <x v="0"/>
    <x v="0"/>
    <n v="41"/>
    <n v="119290"/>
    <n v="12444"/>
    <x v="1"/>
    <n v="131734"/>
  </r>
  <r>
    <n v="1941"/>
    <s v="Emp_941"/>
    <x v="0"/>
    <x v="1"/>
    <x v="4"/>
    <x v="2"/>
    <n v="57"/>
    <n v="105038"/>
    <n v="15510"/>
    <x v="0"/>
    <n v="120548"/>
  </r>
  <r>
    <n v="1942"/>
    <s v="Emp_942"/>
    <x v="4"/>
    <x v="0"/>
    <x v="2"/>
    <x v="0"/>
    <n v="53"/>
    <n v="20760"/>
    <n v="16277"/>
    <x v="0"/>
    <n v="37037"/>
  </r>
  <r>
    <n v="1943"/>
    <s v="Emp_943"/>
    <x v="3"/>
    <x v="1"/>
    <x v="3"/>
    <x v="1"/>
    <n v="49"/>
    <n v="44142"/>
    <n v="15537"/>
    <x v="0"/>
    <n v="59679"/>
  </r>
  <r>
    <n v="1944"/>
    <s v="Emp_944"/>
    <x v="1"/>
    <x v="0"/>
    <x v="2"/>
    <x v="1"/>
    <n v="34"/>
    <n v="37290"/>
    <n v="12147"/>
    <x v="0"/>
    <n v="49437"/>
  </r>
  <r>
    <n v="1945"/>
    <s v="Emp_945"/>
    <x v="3"/>
    <x v="0"/>
    <x v="2"/>
    <x v="3"/>
    <n v="22"/>
    <n v="91035"/>
    <n v="12631"/>
    <x v="0"/>
    <n v="103666"/>
  </r>
  <r>
    <n v="1946"/>
    <s v="Emp_946"/>
    <x v="4"/>
    <x v="0"/>
    <x v="4"/>
    <x v="1"/>
    <n v="56"/>
    <n v="20364"/>
    <n v="8598"/>
    <x v="0"/>
    <n v="28962"/>
  </r>
  <r>
    <n v="1947"/>
    <s v="Emp_947"/>
    <x v="2"/>
    <x v="0"/>
    <x v="4"/>
    <x v="0"/>
    <n v="51"/>
    <n v="76921"/>
    <n v="9329"/>
    <x v="0"/>
    <n v="86250"/>
  </r>
  <r>
    <n v="1948"/>
    <s v="Emp_948"/>
    <x v="2"/>
    <x v="0"/>
    <x v="1"/>
    <x v="1"/>
    <n v="57"/>
    <n v="39797"/>
    <n v="11718"/>
    <x v="0"/>
    <n v="51515"/>
  </r>
  <r>
    <n v="1949"/>
    <s v="Emp_949"/>
    <x v="2"/>
    <x v="0"/>
    <x v="3"/>
    <x v="0"/>
    <n v="46"/>
    <n v="52535"/>
    <n v="14923"/>
    <x v="0"/>
    <n v="67458"/>
  </r>
  <r>
    <n v="1950"/>
    <s v="Emp_950"/>
    <x v="4"/>
    <x v="1"/>
    <x v="4"/>
    <x v="3"/>
    <n v="37"/>
    <n v="66300"/>
    <n v="29602"/>
    <x v="0"/>
    <n v="95902"/>
  </r>
  <r>
    <n v="1951"/>
    <s v="Emp_951"/>
    <x v="2"/>
    <x v="2"/>
    <x v="0"/>
    <x v="3"/>
    <n v="40"/>
    <n v="67176"/>
    <n v="18782"/>
    <x v="0"/>
    <n v="85958"/>
  </r>
  <r>
    <n v="1952"/>
    <s v="Emp_952"/>
    <x v="0"/>
    <x v="1"/>
    <x v="3"/>
    <x v="0"/>
    <n v="22"/>
    <n v="36105"/>
    <n v="21476"/>
    <x v="0"/>
    <n v="57581"/>
  </r>
  <r>
    <n v="1953"/>
    <s v="Emp_953"/>
    <x v="1"/>
    <x v="2"/>
    <x v="3"/>
    <x v="1"/>
    <n v="26"/>
    <n v="27939"/>
    <n v="29884"/>
    <x v="0"/>
    <n v="57823"/>
  </r>
  <r>
    <n v="1954"/>
    <s v="Emp_954"/>
    <x v="3"/>
    <x v="0"/>
    <x v="4"/>
    <x v="3"/>
    <n v="43"/>
    <n v="99472"/>
    <n v="5051"/>
    <x v="0"/>
    <n v="104523"/>
  </r>
  <r>
    <n v="1955"/>
    <s v="Emp_955"/>
    <x v="3"/>
    <x v="1"/>
    <x v="3"/>
    <x v="2"/>
    <n v="45"/>
    <n v="62029"/>
    <n v="21702"/>
    <x v="0"/>
    <n v="83731"/>
  </r>
  <r>
    <n v="1956"/>
    <s v="Emp_956"/>
    <x v="4"/>
    <x v="0"/>
    <x v="4"/>
    <x v="3"/>
    <n v="58"/>
    <n v="35863"/>
    <n v="15184"/>
    <x v="0"/>
    <n v="51047"/>
  </r>
  <r>
    <n v="1957"/>
    <s v="Emp_957"/>
    <x v="2"/>
    <x v="1"/>
    <x v="2"/>
    <x v="1"/>
    <n v="57"/>
    <n v="98097"/>
    <n v="17468"/>
    <x v="0"/>
    <n v="115565"/>
  </r>
  <r>
    <n v="1958"/>
    <s v="Emp_958"/>
    <x v="2"/>
    <x v="1"/>
    <x v="1"/>
    <x v="2"/>
    <n v="57"/>
    <n v="30447"/>
    <n v="27072"/>
    <x v="0"/>
    <n v="57519"/>
  </r>
  <r>
    <n v="1959"/>
    <s v="Emp_959"/>
    <x v="5"/>
    <x v="0"/>
    <x v="2"/>
    <x v="1"/>
    <n v="25"/>
    <n v="116160"/>
    <n v="20479"/>
    <x v="0"/>
    <n v="136639"/>
  </r>
  <r>
    <n v="1960"/>
    <s v="Emp_960"/>
    <x v="1"/>
    <x v="1"/>
    <x v="4"/>
    <x v="0"/>
    <n v="57"/>
    <n v="66940"/>
    <n v="28402"/>
    <x v="0"/>
    <n v="95342"/>
  </r>
  <r>
    <n v="1961"/>
    <s v="Emp_961"/>
    <x v="0"/>
    <x v="1"/>
    <x v="4"/>
    <x v="2"/>
    <n v="39"/>
    <n v="97947"/>
    <n v="12210"/>
    <x v="0"/>
    <n v="110157"/>
  </r>
  <r>
    <n v="1962"/>
    <s v="Emp_962"/>
    <x v="3"/>
    <x v="0"/>
    <x v="2"/>
    <x v="1"/>
    <n v="37"/>
    <n v="105001"/>
    <n v="17934"/>
    <x v="0"/>
    <n v="122935"/>
  </r>
  <r>
    <n v="1963"/>
    <s v="Emp_963"/>
    <x v="5"/>
    <x v="1"/>
    <x v="0"/>
    <x v="2"/>
    <n v="39"/>
    <n v="39642"/>
    <n v="8956"/>
    <x v="0"/>
    <n v="48598"/>
  </r>
  <r>
    <n v="1964"/>
    <s v="Emp_964"/>
    <x v="5"/>
    <x v="0"/>
    <x v="0"/>
    <x v="1"/>
    <n v="43"/>
    <n v="116798"/>
    <n v="11057"/>
    <x v="1"/>
    <n v="127855"/>
  </r>
  <r>
    <n v="1965"/>
    <s v="Emp_965"/>
    <x v="4"/>
    <x v="0"/>
    <x v="0"/>
    <x v="2"/>
    <n v="23"/>
    <n v="115899"/>
    <n v="16210"/>
    <x v="0"/>
    <n v="132109"/>
  </r>
  <r>
    <n v="1966"/>
    <s v="Emp_966"/>
    <x v="3"/>
    <x v="0"/>
    <x v="4"/>
    <x v="1"/>
    <n v="42"/>
    <n v="87643"/>
    <n v="19590"/>
    <x v="0"/>
    <n v="107233"/>
  </r>
  <r>
    <n v="1967"/>
    <s v="Emp_967"/>
    <x v="4"/>
    <x v="0"/>
    <x v="3"/>
    <x v="0"/>
    <n v="57"/>
    <n v="27928"/>
    <n v="28259"/>
    <x v="0"/>
    <n v="56187"/>
  </r>
  <r>
    <n v="1968"/>
    <s v="Emp_968"/>
    <x v="0"/>
    <x v="1"/>
    <x v="4"/>
    <x v="2"/>
    <n v="50"/>
    <n v="68002"/>
    <n v="25815"/>
    <x v="0"/>
    <n v="93817"/>
  </r>
  <r>
    <n v="1969"/>
    <s v="Emp_969"/>
    <x v="5"/>
    <x v="0"/>
    <x v="3"/>
    <x v="2"/>
    <n v="47"/>
    <n v="104853"/>
    <n v="18864"/>
    <x v="0"/>
    <n v="123717"/>
  </r>
  <r>
    <n v="1970"/>
    <s v="Emp_970"/>
    <x v="5"/>
    <x v="0"/>
    <x v="2"/>
    <x v="2"/>
    <n v="42"/>
    <n v="45017"/>
    <n v="6525"/>
    <x v="0"/>
    <n v="51542"/>
  </r>
  <r>
    <n v="1971"/>
    <s v="Emp_971"/>
    <x v="1"/>
    <x v="1"/>
    <x v="1"/>
    <x v="2"/>
    <n v="38"/>
    <n v="99064"/>
    <n v="18277"/>
    <x v="0"/>
    <n v="117341"/>
  </r>
  <r>
    <n v="1972"/>
    <s v="Emp_972"/>
    <x v="0"/>
    <x v="0"/>
    <x v="3"/>
    <x v="0"/>
    <n v="37"/>
    <n v="33313"/>
    <n v="12043"/>
    <x v="0"/>
    <n v="45356"/>
  </r>
  <r>
    <n v="1973"/>
    <s v="Emp_973"/>
    <x v="5"/>
    <x v="0"/>
    <x v="0"/>
    <x v="2"/>
    <n v="52"/>
    <n v="21559"/>
    <n v="22662"/>
    <x v="0"/>
    <n v="44221"/>
  </r>
  <r>
    <n v="1974"/>
    <s v="Emp_974"/>
    <x v="0"/>
    <x v="1"/>
    <x v="4"/>
    <x v="3"/>
    <n v="30"/>
    <n v="70893"/>
    <n v="13705"/>
    <x v="0"/>
    <n v="84598"/>
  </r>
  <r>
    <n v="1975"/>
    <s v="Emp_975"/>
    <x v="3"/>
    <x v="1"/>
    <x v="2"/>
    <x v="0"/>
    <n v="52"/>
    <n v="35167"/>
    <n v="11125"/>
    <x v="0"/>
    <n v="46292"/>
  </r>
  <r>
    <n v="1976"/>
    <s v="Emp_976"/>
    <x v="2"/>
    <x v="1"/>
    <x v="0"/>
    <x v="3"/>
    <n v="35"/>
    <n v="100879"/>
    <n v="12874"/>
    <x v="0"/>
    <n v="113753"/>
  </r>
  <r>
    <n v="1977"/>
    <s v="Emp_977"/>
    <x v="5"/>
    <x v="1"/>
    <x v="2"/>
    <x v="2"/>
    <n v="58"/>
    <n v="58598"/>
    <n v="17529"/>
    <x v="0"/>
    <n v="76127"/>
  </r>
  <r>
    <n v="1978"/>
    <s v="Emp_978"/>
    <x v="1"/>
    <x v="1"/>
    <x v="1"/>
    <x v="1"/>
    <n v="23"/>
    <n v="27523"/>
    <n v="28284"/>
    <x v="0"/>
    <n v="55807"/>
  </r>
  <r>
    <n v="1979"/>
    <s v="Emp_979"/>
    <x v="3"/>
    <x v="1"/>
    <x v="4"/>
    <x v="3"/>
    <n v="35"/>
    <n v="69777"/>
    <n v="19955"/>
    <x v="0"/>
    <n v="89732"/>
  </r>
  <r>
    <n v="1980"/>
    <s v="Emp_980"/>
    <x v="0"/>
    <x v="1"/>
    <x v="4"/>
    <x v="2"/>
    <n v="54"/>
    <n v="48439"/>
    <n v="7500"/>
    <x v="0"/>
    <n v="55939"/>
  </r>
  <r>
    <n v="1981"/>
    <s v="Emp_981"/>
    <x v="4"/>
    <x v="0"/>
    <x v="1"/>
    <x v="3"/>
    <n v="56"/>
    <n v="101060"/>
    <n v="8464"/>
    <x v="0"/>
    <n v="109524"/>
  </r>
  <r>
    <n v="1982"/>
    <s v="Emp_982"/>
    <x v="3"/>
    <x v="1"/>
    <x v="4"/>
    <x v="2"/>
    <n v="41"/>
    <n v="33285"/>
    <n v="23643"/>
    <x v="1"/>
    <n v="56928"/>
  </r>
  <r>
    <n v="1983"/>
    <s v="Emp_983"/>
    <x v="5"/>
    <x v="1"/>
    <x v="3"/>
    <x v="2"/>
    <n v="23"/>
    <n v="30973"/>
    <n v="20954"/>
    <x v="0"/>
    <n v="51927"/>
  </r>
  <r>
    <n v="1984"/>
    <s v="Emp_984"/>
    <x v="0"/>
    <x v="1"/>
    <x v="2"/>
    <x v="2"/>
    <n v="40"/>
    <n v="42694"/>
    <n v="28880"/>
    <x v="0"/>
    <n v="71574"/>
  </r>
  <r>
    <n v="1985"/>
    <s v="Emp_985"/>
    <x v="2"/>
    <x v="0"/>
    <x v="0"/>
    <x v="1"/>
    <n v="58"/>
    <n v="55774"/>
    <n v="24043"/>
    <x v="1"/>
    <n v="79817"/>
  </r>
  <r>
    <n v="1986"/>
    <s v="Emp_986"/>
    <x v="3"/>
    <x v="0"/>
    <x v="1"/>
    <x v="3"/>
    <n v="39"/>
    <n v="24302"/>
    <n v="5255"/>
    <x v="0"/>
    <n v="29557"/>
  </r>
  <r>
    <n v="1987"/>
    <s v="Emp_987"/>
    <x v="5"/>
    <x v="1"/>
    <x v="3"/>
    <x v="0"/>
    <n v="37"/>
    <n v="42391"/>
    <n v="6502"/>
    <x v="0"/>
    <n v="48893"/>
  </r>
  <r>
    <n v="1988"/>
    <s v="Emp_988"/>
    <x v="1"/>
    <x v="2"/>
    <x v="0"/>
    <x v="0"/>
    <n v="25"/>
    <n v="24611"/>
    <n v="9656"/>
    <x v="0"/>
    <n v="34267"/>
  </r>
  <r>
    <n v="1989"/>
    <s v="Emp_989"/>
    <x v="4"/>
    <x v="1"/>
    <x v="0"/>
    <x v="0"/>
    <n v="33"/>
    <n v="29372"/>
    <n v="15302"/>
    <x v="0"/>
    <n v="44674"/>
  </r>
  <r>
    <n v="1990"/>
    <s v="Emp_990"/>
    <x v="0"/>
    <x v="0"/>
    <x v="1"/>
    <x v="0"/>
    <n v="50"/>
    <n v="44312"/>
    <n v="10430"/>
    <x v="0"/>
    <n v="54742"/>
  </r>
  <r>
    <n v="1991"/>
    <s v="Emp_991"/>
    <x v="3"/>
    <x v="0"/>
    <x v="3"/>
    <x v="2"/>
    <n v="28"/>
    <n v="34080"/>
    <n v="13598"/>
    <x v="0"/>
    <n v="47678"/>
  </r>
  <r>
    <n v="1992"/>
    <s v="Emp_992"/>
    <x v="3"/>
    <x v="1"/>
    <x v="0"/>
    <x v="3"/>
    <n v="35"/>
    <n v="100618"/>
    <n v="24560"/>
    <x v="1"/>
    <n v="125178"/>
  </r>
  <r>
    <n v="1993"/>
    <s v="Emp_993"/>
    <x v="2"/>
    <x v="0"/>
    <x v="0"/>
    <x v="3"/>
    <n v="33"/>
    <n v="69554.53"/>
    <n v="20976"/>
    <x v="0"/>
    <n v="90530.53"/>
  </r>
  <r>
    <n v="1994"/>
    <s v="Emp_994"/>
    <x v="2"/>
    <x v="1"/>
    <x v="3"/>
    <x v="1"/>
    <n v="56"/>
    <n v="40874"/>
    <n v="6860"/>
    <x v="1"/>
    <n v="47734"/>
  </r>
  <r>
    <n v="1995"/>
    <s v="Emp_995"/>
    <x v="1"/>
    <x v="0"/>
    <x v="4"/>
    <x v="3"/>
    <n v="26"/>
    <n v="82537"/>
    <n v="11158"/>
    <x v="0"/>
    <n v="93695"/>
  </r>
  <r>
    <n v="1996"/>
    <s v="Emp_996"/>
    <x v="4"/>
    <x v="0"/>
    <x v="0"/>
    <x v="3"/>
    <n v="38"/>
    <n v="93914"/>
    <n v="10806"/>
    <x v="0"/>
    <n v="104720"/>
  </r>
  <r>
    <n v="1997"/>
    <s v="Emp_997"/>
    <x v="1"/>
    <x v="1"/>
    <x v="2"/>
    <x v="3"/>
    <n v="53"/>
    <n v="21597"/>
    <n v="25738"/>
    <x v="0"/>
    <n v="47335"/>
  </r>
  <r>
    <n v="1998"/>
    <s v="Emp_998"/>
    <x v="5"/>
    <x v="1"/>
    <x v="3"/>
    <x v="1"/>
    <n v="31"/>
    <n v="31600"/>
    <n v="22106"/>
    <x v="0"/>
    <n v="53706"/>
  </r>
  <r>
    <n v="1999"/>
    <s v="Emp_999"/>
    <x v="5"/>
    <x v="1"/>
    <x v="0"/>
    <x v="0"/>
    <n v="38"/>
    <n v="23747"/>
    <n v="28963"/>
    <x v="0"/>
    <n v="52710"/>
  </r>
  <r>
    <n v="2000"/>
    <s v="Emp_1000"/>
    <x v="1"/>
    <x v="1"/>
    <x v="1"/>
    <x v="3"/>
    <n v="26"/>
    <n v="99415"/>
    <n v="14474"/>
    <x v="0"/>
    <n v="113889"/>
  </r>
  <r>
    <n v="2001"/>
    <s v="Emp_1001"/>
    <x v="4"/>
    <x v="0"/>
    <x v="2"/>
    <x v="1"/>
    <n v="30"/>
    <n v="98553"/>
    <n v="21997"/>
    <x v="0"/>
    <n v="120550"/>
  </r>
  <r>
    <n v="2002"/>
    <s v="Emp_1002"/>
    <x v="1"/>
    <x v="0"/>
    <x v="0"/>
    <x v="1"/>
    <n v="54"/>
    <n v="44815"/>
    <n v="24715"/>
    <x v="0"/>
    <n v="69530"/>
  </r>
  <r>
    <n v="2003"/>
    <s v="Emp_1003"/>
    <x v="4"/>
    <x v="0"/>
    <x v="2"/>
    <x v="2"/>
    <n v="57"/>
    <n v="104500"/>
    <n v="10790"/>
    <x v="0"/>
    <n v="115290"/>
  </r>
  <r>
    <n v="2004"/>
    <s v="Emp_1004"/>
    <x v="4"/>
    <x v="1"/>
    <x v="2"/>
    <x v="1"/>
    <n v="57"/>
    <n v="114348"/>
    <n v="24500"/>
    <x v="1"/>
    <n v="138848"/>
  </r>
  <r>
    <n v="2005"/>
    <s v="Emp_1005"/>
    <x v="0"/>
    <x v="0"/>
    <x v="4"/>
    <x v="0"/>
    <n v="39"/>
    <n v="44714"/>
    <n v="15170"/>
    <x v="0"/>
    <n v="59884"/>
  </r>
  <r>
    <n v="2006"/>
    <s v="Emp_1006"/>
    <x v="4"/>
    <x v="1"/>
    <x v="2"/>
    <x v="3"/>
    <n v="30"/>
    <n v="38890"/>
    <n v="14004"/>
    <x v="0"/>
    <n v="52894"/>
  </r>
  <r>
    <n v="2007"/>
    <s v="Emp_1007"/>
    <x v="2"/>
    <x v="0"/>
    <x v="4"/>
    <x v="1"/>
    <n v="50"/>
    <n v="81509"/>
    <n v="14978"/>
    <x v="0"/>
    <n v="96487"/>
  </r>
  <r>
    <n v="2008"/>
    <s v="Emp_1008"/>
    <x v="4"/>
    <x v="1"/>
    <x v="3"/>
    <x v="0"/>
    <n v="35"/>
    <n v="81824"/>
    <n v="21714"/>
    <x v="0"/>
    <n v="103538"/>
  </r>
  <r>
    <n v="2009"/>
    <s v="Emp_1009"/>
    <x v="6"/>
    <x v="1"/>
    <x v="4"/>
    <x v="1"/>
    <n v="46"/>
    <n v="24725"/>
    <n v="23596"/>
    <x v="0"/>
    <n v="48321"/>
  </r>
  <r>
    <n v="2010"/>
    <s v="Emp_1010"/>
    <x v="4"/>
    <x v="0"/>
    <x v="1"/>
    <x v="1"/>
    <n v="36"/>
    <n v="63205"/>
    <n v="26877"/>
    <x v="0"/>
    <n v="90082"/>
  </r>
  <r>
    <n v="2011"/>
    <s v="Emp_1011"/>
    <x v="5"/>
    <x v="2"/>
    <x v="0"/>
    <x v="1"/>
    <n v="27"/>
    <n v="40684"/>
    <n v="12232"/>
    <x v="1"/>
    <n v="52916"/>
  </r>
  <r>
    <n v="2012"/>
    <s v="Emp_1012"/>
    <x v="2"/>
    <x v="2"/>
    <x v="3"/>
    <x v="1"/>
    <n v="50"/>
    <n v="111861"/>
    <n v="17674"/>
    <x v="0"/>
    <n v="129535"/>
  </r>
  <r>
    <n v="2013"/>
    <s v="Emp_1013"/>
    <x v="2"/>
    <x v="0"/>
    <x v="3"/>
    <x v="1"/>
    <n v="36"/>
    <n v="77911"/>
    <n v="26998"/>
    <x v="0"/>
    <n v="104909"/>
  </r>
  <r>
    <n v="2014"/>
    <s v="Emp_1014"/>
    <x v="1"/>
    <x v="1"/>
    <x v="1"/>
    <x v="0"/>
    <n v="50"/>
    <n v="118078"/>
    <n v="27297"/>
    <x v="1"/>
    <n v="145375"/>
  </r>
  <r>
    <n v="2015"/>
    <s v="Emp_1015"/>
    <x v="0"/>
    <x v="1"/>
    <x v="4"/>
    <x v="3"/>
    <n v="25"/>
    <n v="33092"/>
    <n v="21052"/>
    <x v="0"/>
    <n v="54144"/>
  </r>
  <r>
    <n v="2016"/>
    <s v="Emp_1016"/>
    <x v="4"/>
    <x v="1"/>
    <x v="0"/>
    <x v="3"/>
    <n v="39"/>
    <n v="115918"/>
    <n v="20774"/>
    <x v="0"/>
    <n v="136692"/>
  </r>
  <r>
    <n v="2017"/>
    <s v="Emp_1017"/>
    <x v="3"/>
    <x v="0"/>
    <x v="4"/>
    <x v="3"/>
    <n v="37"/>
    <n v="59770"/>
    <n v="10913"/>
    <x v="0"/>
    <n v="70683"/>
  </r>
  <r>
    <n v="2018"/>
    <s v="Emp_1018"/>
    <x v="0"/>
    <x v="0"/>
    <x v="2"/>
    <x v="3"/>
    <n v="32"/>
    <n v="45457"/>
    <n v="19102"/>
    <x v="0"/>
    <n v="64559"/>
  </r>
  <r>
    <n v="2019"/>
    <s v="Emp_1019"/>
    <x v="6"/>
    <x v="1"/>
    <x v="4"/>
    <x v="0"/>
    <n v="35"/>
    <n v="91667"/>
    <n v="20389"/>
    <x v="0"/>
    <n v="112056"/>
  </r>
  <r>
    <n v="2020"/>
    <s v="Emp_1020"/>
    <x v="2"/>
    <x v="0"/>
    <x v="3"/>
    <x v="2"/>
    <n v="24"/>
    <n v="110751"/>
    <n v="15567"/>
    <x v="0"/>
    <n v="126318"/>
  </r>
  <r>
    <n v="2021"/>
    <s v="Emp_1021"/>
    <x v="0"/>
    <x v="1"/>
    <x v="0"/>
    <x v="2"/>
    <n v="59"/>
    <n v="82894"/>
    <n v="10611"/>
    <x v="1"/>
    <n v="93505"/>
  </r>
  <r>
    <n v="2022"/>
    <s v="Emp_1022"/>
    <x v="4"/>
    <x v="1"/>
    <x v="4"/>
    <x v="0"/>
    <n v="39"/>
    <n v="81305"/>
    <n v="14432"/>
    <x v="0"/>
    <n v="95737"/>
  </r>
  <r>
    <n v="2023"/>
    <s v="Emp_1023"/>
    <x v="4"/>
    <x v="1"/>
    <x v="0"/>
    <x v="0"/>
    <n v="41"/>
    <n v="32612"/>
    <n v="5319"/>
    <x v="1"/>
    <n v="37931"/>
  </r>
  <r>
    <n v="2024"/>
    <s v="Emp_1024"/>
    <x v="5"/>
    <x v="1"/>
    <x v="0"/>
    <x v="1"/>
    <n v="46"/>
    <n v="98627"/>
    <n v="29469"/>
    <x v="0"/>
    <n v="128096"/>
  </r>
  <r>
    <n v="2025"/>
    <s v="Emp_1025"/>
    <x v="4"/>
    <x v="1"/>
    <x v="2"/>
    <x v="1"/>
    <n v="59"/>
    <n v="57089"/>
    <n v="17686"/>
    <x v="0"/>
    <n v="74775"/>
  </r>
  <r>
    <n v="2026"/>
    <s v="Emp_1026"/>
    <x v="4"/>
    <x v="0"/>
    <x v="2"/>
    <x v="1"/>
    <n v="34"/>
    <n v="115295"/>
    <n v="25584"/>
    <x v="0"/>
    <n v="140879"/>
  </r>
  <r>
    <n v="2027"/>
    <s v="Emp_1027"/>
    <x v="2"/>
    <x v="1"/>
    <x v="3"/>
    <x v="3"/>
    <n v="25"/>
    <n v="72137"/>
    <n v="9791"/>
    <x v="0"/>
    <n v="81928"/>
  </r>
  <r>
    <n v="2028"/>
    <s v="Emp_1028"/>
    <x v="4"/>
    <x v="0"/>
    <x v="1"/>
    <x v="1"/>
    <n v="35"/>
    <n v="20559"/>
    <n v="5329"/>
    <x v="0"/>
    <n v="25888"/>
  </r>
  <r>
    <n v="2029"/>
    <s v="Emp_1029"/>
    <x v="5"/>
    <x v="0"/>
    <x v="0"/>
    <x v="2"/>
    <n v="54"/>
    <n v="86249"/>
    <n v="13851"/>
    <x v="0"/>
    <n v="100100"/>
  </r>
  <r>
    <n v="2030"/>
    <s v="Emp_1030"/>
    <x v="3"/>
    <x v="1"/>
    <x v="1"/>
    <x v="3"/>
    <n v="49"/>
    <n v="57361"/>
    <n v="16310"/>
    <x v="2"/>
    <n v="73671"/>
  </r>
  <r>
    <n v="2031"/>
    <s v="Emp_1031"/>
    <x v="2"/>
    <x v="1"/>
    <x v="3"/>
    <x v="1"/>
    <n v="58"/>
    <n v="100720"/>
    <n v="28126"/>
    <x v="0"/>
    <n v="128846"/>
  </r>
  <r>
    <n v="2032"/>
    <s v="Emp_1032"/>
    <x v="3"/>
    <x v="0"/>
    <x v="0"/>
    <x v="3"/>
    <n v="29"/>
    <n v="35261"/>
    <n v="26300"/>
    <x v="0"/>
    <n v="61561"/>
  </r>
  <r>
    <n v="2033"/>
    <s v="Emp_1033"/>
    <x v="2"/>
    <x v="0"/>
    <x v="0"/>
    <x v="2"/>
    <n v="55"/>
    <n v="40372"/>
    <n v="15164"/>
    <x v="1"/>
    <n v="55536"/>
  </r>
  <r>
    <n v="2034"/>
    <s v="Emp_1034"/>
    <x v="1"/>
    <x v="0"/>
    <x v="1"/>
    <x v="1"/>
    <n v="26"/>
    <n v="75355"/>
    <n v="23177"/>
    <x v="0"/>
    <n v="98532"/>
  </r>
  <r>
    <n v="2035"/>
    <s v="Emp_1035"/>
    <x v="0"/>
    <x v="1"/>
    <x v="4"/>
    <x v="2"/>
    <n v="26"/>
    <n v="117676"/>
    <n v="27841"/>
    <x v="0"/>
    <n v="145517"/>
  </r>
  <r>
    <n v="2036"/>
    <s v="Emp_1036"/>
    <x v="1"/>
    <x v="0"/>
    <x v="2"/>
    <x v="2"/>
    <n v="52"/>
    <n v="118560"/>
    <n v="29509"/>
    <x v="1"/>
    <n v="148069"/>
  </r>
  <r>
    <n v="2037"/>
    <s v="Emp_1037"/>
    <x v="4"/>
    <x v="1"/>
    <x v="4"/>
    <x v="2"/>
    <n v="30"/>
    <n v="77920"/>
    <n v="10703"/>
    <x v="0"/>
    <n v="88623"/>
  </r>
  <r>
    <n v="2038"/>
    <s v="Emp_1038"/>
    <x v="3"/>
    <x v="1"/>
    <x v="1"/>
    <x v="1"/>
    <n v="53"/>
    <n v="69554.53"/>
    <n v="15649"/>
    <x v="0"/>
    <n v="85203.53"/>
  </r>
  <r>
    <n v="2039"/>
    <s v="Emp_1039"/>
    <x v="4"/>
    <x v="1"/>
    <x v="2"/>
    <x v="0"/>
    <n v="54"/>
    <n v="20037"/>
    <n v="27554"/>
    <x v="0"/>
    <n v="47591"/>
  </r>
  <r>
    <n v="2040"/>
    <s v="Emp_1040"/>
    <x v="1"/>
    <x v="0"/>
    <x v="4"/>
    <x v="1"/>
    <n v="24"/>
    <n v="63032"/>
    <n v="28028"/>
    <x v="0"/>
    <n v="91060"/>
  </r>
  <r>
    <n v="2041"/>
    <s v="Emp_1041"/>
    <x v="2"/>
    <x v="1"/>
    <x v="2"/>
    <x v="2"/>
    <n v="51"/>
    <n v="98233"/>
    <n v="28804"/>
    <x v="0"/>
    <n v="127037"/>
  </r>
  <r>
    <n v="2042"/>
    <s v="Emp_1042"/>
    <x v="0"/>
    <x v="1"/>
    <x v="0"/>
    <x v="1"/>
    <n v="33"/>
    <n v="61420"/>
    <n v="17672"/>
    <x v="0"/>
    <n v="79092"/>
  </r>
  <r>
    <n v="2043"/>
    <s v="Emp_1043"/>
    <x v="5"/>
    <x v="1"/>
    <x v="4"/>
    <x v="2"/>
    <n v="50"/>
    <n v="117243"/>
    <n v="9155"/>
    <x v="0"/>
    <n v="126398"/>
  </r>
  <r>
    <n v="2044"/>
    <s v="Emp_1044"/>
    <x v="0"/>
    <x v="1"/>
    <x v="2"/>
    <x v="0"/>
    <n v="24"/>
    <n v="111552"/>
    <n v="29795"/>
    <x v="1"/>
    <n v="141347"/>
  </r>
  <r>
    <n v="2045"/>
    <s v="Emp_1045"/>
    <x v="5"/>
    <x v="1"/>
    <x v="2"/>
    <x v="3"/>
    <n v="47"/>
    <n v="54600"/>
    <n v="7611"/>
    <x v="0"/>
    <n v="62211"/>
  </r>
  <r>
    <n v="2046"/>
    <s v="Emp_1046"/>
    <x v="0"/>
    <x v="0"/>
    <x v="2"/>
    <x v="0"/>
    <n v="51"/>
    <n v="68285"/>
    <n v="27075"/>
    <x v="0"/>
    <n v="95360"/>
  </r>
  <r>
    <n v="2047"/>
    <s v="Emp_1047"/>
    <x v="5"/>
    <x v="1"/>
    <x v="4"/>
    <x v="0"/>
    <n v="30"/>
    <n v="82008"/>
    <n v="23977"/>
    <x v="0"/>
    <n v="105985"/>
  </r>
  <r>
    <n v="2048"/>
    <s v="Emp_1048"/>
    <x v="3"/>
    <x v="1"/>
    <x v="3"/>
    <x v="3"/>
    <n v="47"/>
    <n v="109520"/>
    <n v="21479"/>
    <x v="0"/>
    <n v="130999"/>
  </r>
  <r>
    <n v="2049"/>
    <s v="Emp_1049"/>
    <x v="4"/>
    <x v="0"/>
    <x v="4"/>
    <x v="1"/>
    <n v="23"/>
    <n v="25167"/>
    <n v="14180"/>
    <x v="0"/>
    <n v="39347"/>
  </r>
  <r>
    <n v="2050"/>
    <s v="Emp_1050"/>
    <x v="4"/>
    <x v="1"/>
    <x v="1"/>
    <x v="3"/>
    <n v="24"/>
    <n v="20432"/>
    <n v="14304"/>
    <x v="1"/>
    <n v="34736"/>
  </r>
  <r>
    <n v="2051"/>
    <s v="Emp_1051"/>
    <x v="1"/>
    <x v="0"/>
    <x v="4"/>
    <x v="1"/>
    <n v="25"/>
    <n v="89687"/>
    <n v="27425"/>
    <x v="0"/>
    <n v="117112"/>
  </r>
  <r>
    <n v="2052"/>
    <s v="Emp_1052"/>
    <x v="4"/>
    <x v="1"/>
    <x v="2"/>
    <x v="1"/>
    <n v="46"/>
    <n v="91947"/>
    <n v="26447"/>
    <x v="1"/>
    <n v="118394"/>
  </r>
  <r>
    <n v="2053"/>
    <s v="Emp_1053"/>
    <x v="2"/>
    <x v="0"/>
    <x v="0"/>
    <x v="2"/>
    <n v="34"/>
    <n v="116324"/>
    <n v="19610"/>
    <x v="1"/>
    <n v="135934"/>
  </r>
  <r>
    <n v="2054"/>
    <s v="Emp_1054"/>
    <x v="0"/>
    <x v="0"/>
    <x v="4"/>
    <x v="2"/>
    <n v="56"/>
    <n v="70903"/>
    <n v="13437"/>
    <x v="1"/>
    <n v="84340"/>
  </r>
  <r>
    <n v="2055"/>
    <s v="Emp_1055"/>
    <x v="1"/>
    <x v="1"/>
    <x v="4"/>
    <x v="3"/>
    <n v="44"/>
    <n v="112159"/>
    <n v="15350"/>
    <x v="0"/>
    <n v="127509"/>
  </r>
  <r>
    <n v="2056"/>
    <s v="Emp_1056"/>
    <x v="2"/>
    <x v="1"/>
    <x v="2"/>
    <x v="0"/>
    <n v="30"/>
    <n v="74149"/>
    <n v="17521"/>
    <x v="0"/>
    <n v="91670"/>
  </r>
  <r>
    <n v="2057"/>
    <s v="Emp_1057"/>
    <x v="2"/>
    <x v="1"/>
    <x v="0"/>
    <x v="3"/>
    <n v="23"/>
    <n v="107640"/>
    <n v="24733"/>
    <x v="0"/>
    <n v="132373"/>
  </r>
  <r>
    <n v="2058"/>
    <s v="Emp_1058"/>
    <x v="5"/>
    <x v="0"/>
    <x v="0"/>
    <x v="1"/>
    <n v="52"/>
    <n v="76768"/>
    <n v="29028"/>
    <x v="0"/>
    <n v="105796"/>
  </r>
  <r>
    <n v="2059"/>
    <s v="Emp_1059"/>
    <x v="4"/>
    <x v="0"/>
    <x v="1"/>
    <x v="2"/>
    <n v="23"/>
    <n v="80184"/>
    <n v="11560"/>
    <x v="1"/>
    <n v="91744"/>
  </r>
  <r>
    <n v="2060"/>
    <s v="Emp_1060"/>
    <x v="3"/>
    <x v="2"/>
    <x v="4"/>
    <x v="3"/>
    <n v="53"/>
    <n v="85792"/>
    <n v="10247"/>
    <x v="0"/>
    <n v="96039"/>
  </r>
  <r>
    <n v="2061"/>
    <s v="Emp_1061"/>
    <x v="3"/>
    <x v="1"/>
    <x v="0"/>
    <x v="3"/>
    <n v="39"/>
    <n v="53439"/>
    <n v="26740"/>
    <x v="0"/>
    <n v="80179"/>
  </r>
  <r>
    <n v="2062"/>
    <s v="Emp_1062"/>
    <x v="1"/>
    <x v="0"/>
    <x v="0"/>
    <x v="2"/>
    <n v="34"/>
    <n v="53257"/>
    <n v="9077"/>
    <x v="0"/>
    <n v="62334"/>
  </r>
  <r>
    <n v="2063"/>
    <s v="Emp_1063"/>
    <x v="3"/>
    <x v="0"/>
    <x v="3"/>
    <x v="2"/>
    <n v="26"/>
    <n v="64674"/>
    <n v="26282"/>
    <x v="0"/>
    <n v="90956"/>
  </r>
  <r>
    <n v="2064"/>
    <s v="Emp_1064"/>
    <x v="0"/>
    <x v="1"/>
    <x v="3"/>
    <x v="2"/>
    <n v="31"/>
    <n v="71248"/>
    <n v="15858"/>
    <x v="1"/>
    <n v="87106"/>
  </r>
  <r>
    <n v="2065"/>
    <s v="Emp_1065"/>
    <x v="3"/>
    <x v="0"/>
    <x v="0"/>
    <x v="1"/>
    <n v="46"/>
    <n v="103602"/>
    <n v="16391"/>
    <x v="0"/>
    <n v="119993"/>
  </r>
  <r>
    <n v="2066"/>
    <s v="Emp_1066"/>
    <x v="1"/>
    <x v="0"/>
    <x v="1"/>
    <x v="2"/>
    <n v="55"/>
    <n v="65371"/>
    <n v="15946"/>
    <x v="0"/>
    <n v="81317"/>
  </r>
  <r>
    <n v="2067"/>
    <s v="Emp_1067"/>
    <x v="3"/>
    <x v="1"/>
    <x v="0"/>
    <x v="0"/>
    <n v="58"/>
    <n v="118282"/>
    <n v="20186"/>
    <x v="2"/>
    <n v="138468"/>
  </r>
  <r>
    <n v="2068"/>
    <s v="Emp_1068"/>
    <x v="0"/>
    <x v="0"/>
    <x v="2"/>
    <x v="3"/>
    <n v="51"/>
    <n v="87996"/>
    <n v="6417"/>
    <x v="0"/>
    <n v="94413"/>
  </r>
  <r>
    <n v="2069"/>
    <s v="Emp_1069"/>
    <x v="5"/>
    <x v="1"/>
    <x v="4"/>
    <x v="2"/>
    <n v="28"/>
    <n v="57297"/>
    <n v="21494"/>
    <x v="0"/>
    <n v="78791"/>
  </r>
  <r>
    <n v="2070"/>
    <s v="Emp_1070"/>
    <x v="6"/>
    <x v="1"/>
    <x v="1"/>
    <x v="2"/>
    <n v="27"/>
    <n v="74273"/>
    <n v="29665"/>
    <x v="0"/>
    <n v="103938"/>
  </r>
  <r>
    <n v="2071"/>
    <s v="Emp_1071"/>
    <x v="5"/>
    <x v="1"/>
    <x v="2"/>
    <x v="1"/>
    <n v="24"/>
    <n v="81256"/>
    <n v="13954"/>
    <x v="0"/>
    <n v="95210"/>
  </r>
  <r>
    <n v="2072"/>
    <s v="Emp_1072"/>
    <x v="5"/>
    <x v="1"/>
    <x v="1"/>
    <x v="1"/>
    <n v="34"/>
    <n v="54743"/>
    <n v="18591"/>
    <x v="1"/>
    <n v="73334"/>
  </r>
  <r>
    <n v="2073"/>
    <s v="Emp_1073"/>
    <x v="6"/>
    <x v="1"/>
    <x v="2"/>
    <x v="3"/>
    <n v="24"/>
    <n v="88752"/>
    <n v="12391"/>
    <x v="0"/>
    <n v="101143"/>
  </r>
  <r>
    <n v="2074"/>
    <s v="Emp_1074"/>
    <x v="2"/>
    <x v="0"/>
    <x v="4"/>
    <x v="0"/>
    <n v="47"/>
    <n v="99803"/>
    <n v="16364"/>
    <x v="0"/>
    <n v="116167"/>
  </r>
  <r>
    <n v="2075"/>
    <s v="Emp_1075"/>
    <x v="4"/>
    <x v="0"/>
    <x v="4"/>
    <x v="3"/>
    <n v="45"/>
    <n v="95117"/>
    <n v="15371"/>
    <x v="0"/>
    <n v="110488"/>
  </r>
  <r>
    <n v="2076"/>
    <s v="Emp_1076"/>
    <x v="2"/>
    <x v="1"/>
    <x v="3"/>
    <x v="2"/>
    <n v="27"/>
    <n v="90051"/>
    <n v="26516"/>
    <x v="0"/>
    <n v="116567"/>
  </r>
  <r>
    <n v="2077"/>
    <s v="Emp_1077"/>
    <x v="4"/>
    <x v="1"/>
    <x v="2"/>
    <x v="0"/>
    <n v="33"/>
    <n v="69554.53"/>
    <n v="7504"/>
    <x v="0"/>
    <n v="77058.53"/>
  </r>
  <r>
    <n v="2078"/>
    <s v="Emp_1078"/>
    <x v="5"/>
    <x v="0"/>
    <x v="3"/>
    <x v="0"/>
    <n v="57"/>
    <n v="95312"/>
    <n v="29673"/>
    <x v="0"/>
    <n v="124985"/>
  </r>
  <r>
    <n v="2079"/>
    <s v="Emp_1079"/>
    <x v="1"/>
    <x v="1"/>
    <x v="2"/>
    <x v="0"/>
    <n v="23"/>
    <n v="107483"/>
    <n v="10239"/>
    <x v="0"/>
    <n v="117722"/>
  </r>
  <r>
    <n v="2080"/>
    <s v="Emp_1080"/>
    <x v="4"/>
    <x v="1"/>
    <x v="3"/>
    <x v="0"/>
    <n v="32"/>
    <n v="22963"/>
    <n v="21676"/>
    <x v="1"/>
    <n v="44639"/>
  </r>
  <r>
    <n v="2081"/>
    <s v="Emp_1081"/>
    <x v="0"/>
    <x v="1"/>
    <x v="4"/>
    <x v="3"/>
    <n v="55"/>
    <n v="92322"/>
    <n v="23118"/>
    <x v="1"/>
    <n v="115440"/>
  </r>
  <r>
    <n v="2082"/>
    <s v="Emp_1082"/>
    <x v="0"/>
    <x v="0"/>
    <x v="1"/>
    <x v="1"/>
    <n v="47"/>
    <n v="33866"/>
    <n v="10120"/>
    <x v="0"/>
    <n v="43986"/>
  </r>
  <r>
    <n v="2083"/>
    <s v="Emp_1083"/>
    <x v="3"/>
    <x v="0"/>
    <x v="3"/>
    <x v="1"/>
    <n v="39"/>
    <n v="52305"/>
    <n v="11393"/>
    <x v="0"/>
    <n v="63698"/>
  </r>
  <r>
    <n v="2084"/>
    <s v="Emp_1084"/>
    <x v="4"/>
    <x v="1"/>
    <x v="2"/>
    <x v="2"/>
    <n v="42"/>
    <n v="82403"/>
    <n v="7196"/>
    <x v="0"/>
    <n v="89599"/>
  </r>
  <r>
    <n v="2085"/>
    <s v="Emp_1085"/>
    <x v="1"/>
    <x v="1"/>
    <x v="2"/>
    <x v="1"/>
    <n v="57"/>
    <n v="102896"/>
    <n v="8466"/>
    <x v="0"/>
    <n v="111362"/>
  </r>
  <r>
    <n v="2086"/>
    <s v="Emp_1086"/>
    <x v="2"/>
    <x v="0"/>
    <x v="4"/>
    <x v="1"/>
    <n v="43"/>
    <n v="52813"/>
    <n v="6906"/>
    <x v="0"/>
    <n v="59719"/>
  </r>
  <r>
    <n v="2087"/>
    <s v="Emp_1087"/>
    <x v="5"/>
    <x v="0"/>
    <x v="2"/>
    <x v="1"/>
    <n v="51"/>
    <n v="86729"/>
    <n v="23105"/>
    <x v="0"/>
    <n v="109834"/>
  </r>
  <r>
    <n v="2088"/>
    <s v="Emp_1088"/>
    <x v="3"/>
    <x v="1"/>
    <x v="0"/>
    <x v="1"/>
    <n v="51"/>
    <n v="80686"/>
    <n v="16883"/>
    <x v="0"/>
    <n v="97569"/>
  </r>
  <r>
    <n v="2089"/>
    <s v="Emp_1089"/>
    <x v="0"/>
    <x v="1"/>
    <x v="1"/>
    <x v="2"/>
    <n v="29"/>
    <n v="24512"/>
    <n v="20437"/>
    <x v="0"/>
    <n v="44949"/>
  </r>
  <r>
    <n v="2090"/>
    <s v="Emp_1090"/>
    <x v="2"/>
    <x v="0"/>
    <x v="3"/>
    <x v="3"/>
    <n v="55"/>
    <n v="42666"/>
    <n v="19497"/>
    <x v="0"/>
    <n v="62163"/>
  </r>
  <r>
    <n v="2091"/>
    <s v="Emp_1091"/>
    <x v="2"/>
    <x v="0"/>
    <x v="1"/>
    <x v="0"/>
    <n v="30"/>
    <n v="36630"/>
    <n v="6816"/>
    <x v="0"/>
    <n v="43446"/>
  </r>
  <r>
    <n v="2092"/>
    <s v="Emp_1092"/>
    <x v="5"/>
    <x v="0"/>
    <x v="4"/>
    <x v="1"/>
    <n v="41"/>
    <n v="94519"/>
    <n v="29828"/>
    <x v="0"/>
    <n v="124347"/>
  </r>
  <r>
    <n v="2093"/>
    <s v="Emp_1093"/>
    <x v="4"/>
    <x v="1"/>
    <x v="3"/>
    <x v="3"/>
    <n v="46"/>
    <n v="20636"/>
    <n v="25611"/>
    <x v="0"/>
    <n v="46247"/>
  </r>
  <r>
    <n v="2094"/>
    <s v="Emp_1094"/>
    <x v="0"/>
    <x v="0"/>
    <x v="3"/>
    <x v="1"/>
    <n v="40"/>
    <n v="23775"/>
    <n v="15713"/>
    <x v="1"/>
    <n v="39488"/>
  </r>
  <r>
    <n v="2095"/>
    <s v="Emp_1095"/>
    <x v="1"/>
    <x v="1"/>
    <x v="0"/>
    <x v="1"/>
    <n v="26"/>
    <n v="87957"/>
    <n v="27159"/>
    <x v="0"/>
    <n v="115116"/>
  </r>
  <r>
    <n v="2096"/>
    <s v="Emp_1096"/>
    <x v="2"/>
    <x v="0"/>
    <x v="4"/>
    <x v="0"/>
    <n v="32"/>
    <n v="84591"/>
    <n v="8849"/>
    <x v="2"/>
    <n v="93440"/>
  </r>
  <r>
    <n v="2097"/>
    <s v="Emp_1097"/>
    <x v="5"/>
    <x v="0"/>
    <x v="2"/>
    <x v="0"/>
    <n v="36"/>
    <n v="98561"/>
    <n v="26612"/>
    <x v="0"/>
    <n v="125173"/>
  </r>
  <r>
    <n v="2098"/>
    <s v="Emp_1098"/>
    <x v="1"/>
    <x v="0"/>
    <x v="0"/>
    <x v="0"/>
    <n v="29"/>
    <n v="94816"/>
    <n v="11849"/>
    <x v="0"/>
    <n v="106665"/>
  </r>
  <r>
    <n v="2099"/>
    <s v="Emp_1099"/>
    <x v="4"/>
    <x v="0"/>
    <x v="0"/>
    <x v="1"/>
    <n v="40"/>
    <n v="31351"/>
    <n v="6058"/>
    <x v="0"/>
    <n v="37409"/>
  </r>
  <r>
    <n v="2100"/>
    <s v="Emp_1100"/>
    <x v="0"/>
    <x v="1"/>
    <x v="1"/>
    <x v="1"/>
    <n v="44"/>
    <n v="75184"/>
    <n v="16730"/>
    <x v="0"/>
    <n v="91914"/>
  </r>
  <r>
    <n v="2101"/>
    <s v="Emp_1101"/>
    <x v="4"/>
    <x v="1"/>
    <x v="1"/>
    <x v="1"/>
    <n v="48"/>
    <n v="115707"/>
    <n v="23706"/>
    <x v="0"/>
    <n v="139413"/>
  </r>
  <r>
    <n v="2102"/>
    <s v="Emp_1102"/>
    <x v="2"/>
    <x v="0"/>
    <x v="1"/>
    <x v="0"/>
    <n v="53"/>
    <n v="89180"/>
    <n v="29762"/>
    <x v="0"/>
    <n v="118942"/>
  </r>
  <r>
    <n v="2103"/>
    <s v="Emp_1103"/>
    <x v="1"/>
    <x v="1"/>
    <x v="0"/>
    <x v="2"/>
    <n v="47"/>
    <n v="101678"/>
    <n v="22332"/>
    <x v="0"/>
    <n v="124010"/>
  </r>
  <r>
    <n v="2104"/>
    <s v="Emp_1104"/>
    <x v="1"/>
    <x v="0"/>
    <x v="2"/>
    <x v="3"/>
    <n v="48"/>
    <n v="93309"/>
    <n v="29563"/>
    <x v="0"/>
    <n v="122872"/>
  </r>
  <r>
    <n v="2105"/>
    <s v="Emp_1105"/>
    <x v="1"/>
    <x v="0"/>
    <x v="3"/>
    <x v="2"/>
    <n v="40"/>
    <n v="114002"/>
    <n v="9359"/>
    <x v="1"/>
    <n v="123361"/>
  </r>
  <r>
    <n v="2106"/>
    <s v="Emp_1106"/>
    <x v="2"/>
    <x v="0"/>
    <x v="1"/>
    <x v="1"/>
    <n v="50"/>
    <n v="30778"/>
    <n v="17809"/>
    <x v="0"/>
    <n v="48587"/>
  </r>
  <r>
    <n v="2107"/>
    <s v="Emp_1107"/>
    <x v="2"/>
    <x v="0"/>
    <x v="2"/>
    <x v="1"/>
    <n v="54"/>
    <n v="32501"/>
    <n v="10660"/>
    <x v="0"/>
    <n v="43161"/>
  </r>
  <r>
    <n v="2108"/>
    <s v="Emp_1108"/>
    <x v="4"/>
    <x v="1"/>
    <x v="4"/>
    <x v="2"/>
    <n v="40"/>
    <n v="22108"/>
    <n v="12254"/>
    <x v="1"/>
    <n v="34362"/>
  </r>
  <r>
    <n v="2109"/>
    <s v="Emp_1109"/>
    <x v="3"/>
    <x v="0"/>
    <x v="1"/>
    <x v="1"/>
    <n v="58"/>
    <n v="114905"/>
    <n v="17822"/>
    <x v="0"/>
    <n v="132727"/>
  </r>
  <r>
    <n v="2110"/>
    <s v="Emp_1110"/>
    <x v="4"/>
    <x v="0"/>
    <x v="3"/>
    <x v="3"/>
    <n v="40"/>
    <n v="56382"/>
    <n v="29785"/>
    <x v="0"/>
    <n v="86167"/>
  </r>
  <r>
    <n v="2111"/>
    <s v="Emp_1111"/>
    <x v="0"/>
    <x v="1"/>
    <x v="4"/>
    <x v="1"/>
    <n v="54"/>
    <n v="111354"/>
    <n v="7093"/>
    <x v="0"/>
    <n v="118447"/>
  </r>
  <r>
    <n v="2112"/>
    <s v="Emp_1112"/>
    <x v="5"/>
    <x v="0"/>
    <x v="4"/>
    <x v="3"/>
    <n v="37"/>
    <n v="95787"/>
    <n v="16730"/>
    <x v="0"/>
    <n v="112517"/>
  </r>
  <r>
    <n v="2113"/>
    <s v="Emp_1113"/>
    <x v="1"/>
    <x v="0"/>
    <x v="3"/>
    <x v="2"/>
    <n v="44"/>
    <n v="43341"/>
    <n v="22947"/>
    <x v="0"/>
    <n v="66288"/>
  </r>
  <r>
    <n v="2114"/>
    <s v="Emp_1114"/>
    <x v="3"/>
    <x v="0"/>
    <x v="1"/>
    <x v="2"/>
    <n v="28"/>
    <n v="97214"/>
    <n v="13217"/>
    <x v="0"/>
    <n v="110431"/>
  </r>
  <r>
    <n v="2115"/>
    <s v="Emp_1115"/>
    <x v="5"/>
    <x v="1"/>
    <x v="0"/>
    <x v="1"/>
    <n v="47"/>
    <n v="34367"/>
    <n v="21558"/>
    <x v="0"/>
    <n v="55925"/>
  </r>
  <r>
    <n v="2116"/>
    <s v="Emp_1116"/>
    <x v="3"/>
    <x v="0"/>
    <x v="3"/>
    <x v="3"/>
    <n v="53"/>
    <n v="115208"/>
    <n v="22718"/>
    <x v="1"/>
    <n v="137926"/>
  </r>
  <r>
    <n v="2117"/>
    <s v="Emp_1117"/>
    <x v="4"/>
    <x v="1"/>
    <x v="3"/>
    <x v="1"/>
    <n v="33"/>
    <n v="89868"/>
    <n v="21705"/>
    <x v="0"/>
    <n v="111573"/>
  </r>
  <r>
    <n v="2118"/>
    <s v="Emp_1118"/>
    <x v="2"/>
    <x v="0"/>
    <x v="3"/>
    <x v="0"/>
    <n v="29"/>
    <n v="32002"/>
    <n v="27082"/>
    <x v="0"/>
    <n v="59084"/>
  </r>
  <r>
    <n v="2119"/>
    <s v="Emp_1119"/>
    <x v="1"/>
    <x v="0"/>
    <x v="4"/>
    <x v="0"/>
    <n v="26"/>
    <n v="105820"/>
    <n v="17342"/>
    <x v="1"/>
    <n v="123162"/>
  </r>
  <r>
    <n v="2120"/>
    <s v="Emp_1120"/>
    <x v="4"/>
    <x v="1"/>
    <x v="2"/>
    <x v="0"/>
    <n v="49"/>
    <n v="79949"/>
    <n v="17239"/>
    <x v="1"/>
    <n v="97188"/>
  </r>
  <r>
    <n v="2121"/>
    <s v="Emp_1121"/>
    <x v="5"/>
    <x v="0"/>
    <x v="0"/>
    <x v="0"/>
    <n v="26"/>
    <n v="35700"/>
    <n v="18854"/>
    <x v="0"/>
    <n v="54554"/>
  </r>
  <r>
    <n v="2122"/>
    <s v="Emp_1122"/>
    <x v="5"/>
    <x v="0"/>
    <x v="1"/>
    <x v="1"/>
    <n v="47"/>
    <n v="99305"/>
    <n v="18897"/>
    <x v="0"/>
    <n v="118202"/>
  </r>
  <r>
    <n v="2123"/>
    <s v="Emp_1123"/>
    <x v="5"/>
    <x v="1"/>
    <x v="1"/>
    <x v="0"/>
    <n v="26"/>
    <n v="82543"/>
    <n v="16419"/>
    <x v="1"/>
    <n v="98962"/>
  </r>
  <r>
    <n v="2124"/>
    <s v="Emp_1124"/>
    <x v="5"/>
    <x v="1"/>
    <x v="2"/>
    <x v="3"/>
    <n v="43"/>
    <n v="49318"/>
    <n v="15064"/>
    <x v="0"/>
    <n v="64382"/>
  </r>
  <r>
    <n v="2125"/>
    <s v="Emp_1125"/>
    <x v="6"/>
    <x v="1"/>
    <x v="3"/>
    <x v="2"/>
    <n v="36"/>
    <n v="109859"/>
    <n v="20003"/>
    <x v="0"/>
    <n v="129862"/>
  </r>
  <r>
    <n v="2126"/>
    <s v="Emp_1126"/>
    <x v="3"/>
    <x v="1"/>
    <x v="0"/>
    <x v="2"/>
    <n v="34"/>
    <n v="47610"/>
    <n v="26988"/>
    <x v="1"/>
    <n v="74598"/>
  </r>
  <r>
    <n v="2127"/>
    <s v="Emp_1127"/>
    <x v="4"/>
    <x v="1"/>
    <x v="1"/>
    <x v="0"/>
    <n v="49"/>
    <n v="92499"/>
    <n v="28126"/>
    <x v="0"/>
    <n v="120625"/>
  </r>
  <r>
    <n v="2128"/>
    <s v="Emp_1128"/>
    <x v="1"/>
    <x v="0"/>
    <x v="1"/>
    <x v="0"/>
    <n v="54"/>
    <n v="93374"/>
    <n v="15259"/>
    <x v="0"/>
    <n v="108633"/>
  </r>
  <r>
    <n v="2129"/>
    <s v="Emp_1129"/>
    <x v="2"/>
    <x v="1"/>
    <x v="3"/>
    <x v="0"/>
    <n v="44"/>
    <n v="85226"/>
    <n v="28820"/>
    <x v="0"/>
    <n v="114046"/>
  </r>
  <r>
    <n v="2130"/>
    <s v="Emp_1130"/>
    <x v="2"/>
    <x v="0"/>
    <x v="2"/>
    <x v="1"/>
    <n v="54"/>
    <n v="65167"/>
    <n v="29908"/>
    <x v="0"/>
    <n v="95075"/>
  </r>
  <r>
    <n v="2131"/>
    <s v="Emp_1131"/>
    <x v="4"/>
    <x v="0"/>
    <x v="0"/>
    <x v="2"/>
    <n v="39"/>
    <n v="97779"/>
    <n v="10674"/>
    <x v="1"/>
    <n v="108453"/>
  </r>
  <r>
    <n v="2132"/>
    <s v="Emp_1132"/>
    <x v="4"/>
    <x v="0"/>
    <x v="2"/>
    <x v="0"/>
    <n v="51"/>
    <n v="47939"/>
    <n v="10002"/>
    <x v="0"/>
    <n v="57941"/>
  </r>
  <r>
    <n v="2133"/>
    <s v="Emp_1133"/>
    <x v="2"/>
    <x v="1"/>
    <x v="2"/>
    <x v="3"/>
    <n v="47"/>
    <n v="81365"/>
    <n v="5910"/>
    <x v="1"/>
    <n v="87275"/>
  </r>
  <r>
    <n v="2134"/>
    <s v="Emp_1134"/>
    <x v="2"/>
    <x v="1"/>
    <x v="0"/>
    <x v="0"/>
    <n v="37"/>
    <n v="87381"/>
    <n v="5949"/>
    <x v="0"/>
    <n v="93330"/>
  </r>
  <r>
    <n v="2135"/>
    <s v="Emp_1135"/>
    <x v="3"/>
    <x v="0"/>
    <x v="0"/>
    <x v="2"/>
    <n v="34"/>
    <n v="66710"/>
    <n v="26809"/>
    <x v="0"/>
    <n v="93519"/>
  </r>
  <r>
    <n v="2136"/>
    <s v="Emp_1136"/>
    <x v="0"/>
    <x v="1"/>
    <x v="1"/>
    <x v="0"/>
    <n v="54"/>
    <n v="36766"/>
    <n v="23898"/>
    <x v="0"/>
    <n v="60664"/>
  </r>
  <r>
    <n v="2137"/>
    <s v="Emp_1137"/>
    <x v="1"/>
    <x v="1"/>
    <x v="1"/>
    <x v="2"/>
    <n v="47"/>
    <n v="32780"/>
    <n v="16523"/>
    <x v="0"/>
    <n v="49303"/>
  </r>
  <r>
    <n v="2138"/>
    <s v="Emp_1138"/>
    <x v="5"/>
    <x v="1"/>
    <x v="0"/>
    <x v="0"/>
    <n v="22"/>
    <n v="68458"/>
    <n v="29085"/>
    <x v="0"/>
    <n v="97543"/>
  </r>
  <r>
    <n v="2139"/>
    <s v="Emp_1139"/>
    <x v="0"/>
    <x v="1"/>
    <x v="4"/>
    <x v="3"/>
    <n v="59"/>
    <n v="76221"/>
    <n v="16221"/>
    <x v="0"/>
    <n v="92442"/>
  </r>
  <r>
    <n v="2140"/>
    <s v="Emp_1140"/>
    <x v="4"/>
    <x v="0"/>
    <x v="1"/>
    <x v="0"/>
    <n v="23"/>
    <n v="21509"/>
    <n v="21484"/>
    <x v="0"/>
    <n v="42993"/>
  </r>
  <r>
    <n v="2141"/>
    <s v="Emp_1141"/>
    <x v="2"/>
    <x v="0"/>
    <x v="4"/>
    <x v="3"/>
    <n v="27"/>
    <n v="109493"/>
    <n v="9646"/>
    <x v="0"/>
    <n v="119139"/>
  </r>
  <r>
    <n v="2142"/>
    <s v="Emp_1142"/>
    <x v="0"/>
    <x v="1"/>
    <x v="0"/>
    <x v="3"/>
    <n v="59"/>
    <n v="54346"/>
    <n v="11945"/>
    <x v="0"/>
    <n v="66291"/>
  </r>
  <r>
    <n v="2143"/>
    <s v="Emp_1143"/>
    <x v="1"/>
    <x v="0"/>
    <x v="1"/>
    <x v="0"/>
    <n v="45"/>
    <n v="102799"/>
    <n v="7400"/>
    <x v="0"/>
    <n v="110199"/>
  </r>
  <r>
    <n v="2144"/>
    <s v="Emp_1144"/>
    <x v="4"/>
    <x v="1"/>
    <x v="2"/>
    <x v="3"/>
    <n v="39"/>
    <n v="66874"/>
    <n v="16563"/>
    <x v="0"/>
    <n v="83437"/>
  </r>
  <r>
    <n v="2145"/>
    <s v="Emp_1145"/>
    <x v="5"/>
    <x v="1"/>
    <x v="0"/>
    <x v="1"/>
    <n v="48"/>
    <n v="46148"/>
    <n v="27185"/>
    <x v="0"/>
    <n v="73333"/>
  </r>
  <r>
    <n v="2146"/>
    <s v="Emp_1146"/>
    <x v="6"/>
    <x v="0"/>
    <x v="3"/>
    <x v="0"/>
    <n v="29"/>
    <n v="51533"/>
    <n v="23727"/>
    <x v="2"/>
    <n v="75260"/>
  </r>
  <r>
    <n v="2147"/>
    <s v="Emp_1147"/>
    <x v="1"/>
    <x v="0"/>
    <x v="4"/>
    <x v="0"/>
    <n v="49"/>
    <n v="98467"/>
    <n v="5352"/>
    <x v="0"/>
    <n v="103819"/>
  </r>
  <r>
    <n v="2148"/>
    <s v="Emp_1148"/>
    <x v="1"/>
    <x v="0"/>
    <x v="0"/>
    <x v="3"/>
    <n v="31"/>
    <n v="21359"/>
    <n v="24339"/>
    <x v="0"/>
    <n v="45698"/>
  </r>
  <r>
    <n v="2149"/>
    <s v="Emp_1149"/>
    <x v="2"/>
    <x v="1"/>
    <x v="0"/>
    <x v="3"/>
    <n v="38"/>
    <n v="110068"/>
    <n v="20489"/>
    <x v="0"/>
    <n v="130557"/>
  </r>
  <r>
    <n v="2150"/>
    <s v="Emp_1150"/>
    <x v="5"/>
    <x v="0"/>
    <x v="1"/>
    <x v="0"/>
    <n v="50"/>
    <n v="80313"/>
    <n v="6018"/>
    <x v="0"/>
    <n v="86331"/>
  </r>
  <r>
    <n v="2151"/>
    <s v="Emp_1151"/>
    <x v="4"/>
    <x v="1"/>
    <x v="1"/>
    <x v="1"/>
    <n v="27"/>
    <n v="40344"/>
    <n v="22563"/>
    <x v="0"/>
    <n v="62907"/>
  </r>
  <r>
    <n v="2152"/>
    <s v="Emp_1152"/>
    <x v="0"/>
    <x v="0"/>
    <x v="1"/>
    <x v="3"/>
    <n v="35"/>
    <n v="89778"/>
    <n v="10193"/>
    <x v="0"/>
    <n v="99971"/>
  </r>
  <r>
    <n v="2153"/>
    <s v="Emp_1153"/>
    <x v="6"/>
    <x v="0"/>
    <x v="3"/>
    <x v="3"/>
    <n v="43"/>
    <n v="40601"/>
    <n v="20701"/>
    <x v="0"/>
    <n v="61302"/>
  </r>
  <r>
    <n v="2154"/>
    <s v="Emp_1154"/>
    <x v="3"/>
    <x v="1"/>
    <x v="1"/>
    <x v="2"/>
    <n v="27"/>
    <n v="39116"/>
    <n v="8536"/>
    <x v="1"/>
    <n v="47652"/>
  </r>
  <r>
    <n v="2155"/>
    <s v="Emp_1155"/>
    <x v="3"/>
    <x v="1"/>
    <x v="0"/>
    <x v="1"/>
    <n v="47"/>
    <n v="76985"/>
    <n v="20449"/>
    <x v="1"/>
    <n v="97434"/>
  </r>
  <r>
    <n v="2156"/>
    <s v="Emp_1156"/>
    <x v="1"/>
    <x v="1"/>
    <x v="1"/>
    <x v="1"/>
    <n v="33"/>
    <n v="50782"/>
    <n v="16842"/>
    <x v="0"/>
    <n v="67624"/>
  </r>
  <r>
    <n v="2157"/>
    <s v="Emp_1157"/>
    <x v="2"/>
    <x v="1"/>
    <x v="2"/>
    <x v="0"/>
    <n v="56"/>
    <n v="69819"/>
    <n v="23886"/>
    <x v="0"/>
    <n v="93705"/>
  </r>
  <r>
    <n v="2158"/>
    <s v="Emp_1158"/>
    <x v="3"/>
    <x v="1"/>
    <x v="1"/>
    <x v="1"/>
    <n v="35"/>
    <n v="104416"/>
    <n v="8819"/>
    <x v="0"/>
    <n v="113235"/>
  </r>
  <r>
    <n v="2159"/>
    <s v="Emp_1159"/>
    <x v="5"/>
    <x v="1"/>
    <x v="3"/>
    <x v="0"/>
    <n v="43"/>
    <n v="89035"/>
    <n v="28239"/>
    <x v="1"/>
    <n v="117274"/>
  </r>
  <r>
    <n v="2160"/>
    <s v="Emp_1160"/>
    <x v="6"/>
    <x v="1"/>
    <x v="2"/>
    <x v="2"/>
    <n v="44"/>
    <n v="117123"/>
    <n v="22363"/>
    <x v="0"/>
    <n v="139486"/>
  </r>
  <r>
    <n v="2161"/>
    <s v="Emp_1161"/>
    <x v="4"/>
    <x v="1"/>
    <x v="0"/>
    <x v="1"/>
    <n v="28"/>
    <n v="64458"/>
    <n v="5976"/>
    <x v="1"/>
    <n v="70434"/>
  </r>
  <r>
    <n v="2162"/>
    <s v="Emp_1162"/>
    <x v="1"/>
    <x v="0"/>
    <x v="0"/>
    <x v="3"/>
    <n v="46"/>
    <n v="111556"/>
    <n v="23664"/>
    <x v="0"/>
    <n v="135220"/>
  </r>
  <r>
    <n v="2163"/>
    <s v="Emp_1163"/>
    <x v="0"/>
    <x v="1"/>
    <x v="4"/>
    <x v="2"/>
    <n v="34"/>
    <n v="28080"/>
    <n v="10897"/>
    <x v="0"/>
    <n v="38977"/>
  </r>
  <r>
    <n v="2164"/>
    <s v="Emp_1164"/>
    <x v="1"/>
    <x v="1"/>
    <x v="2"/>
    <x v="0"/>
    <n v="42"/>
    <n v="108743"/>
    <n v="20957"/>
    <x v="1"/>
    <n v="129700"/>
  </r>
  <r>
    <n v="2165"/>
    <s v="Emp_1165"/>
    <x v="0"/>
    <x v="0"/>
    <x v="4"/>
    <x v="2"/>
    <n v="31"/>
    <n v="53957"/>
    <n v="20359"/>
    <x v="0"/>
    <n v="74316"/>
  </r>
  <r>
    <n v="2166"/>
    <s v="Emp_1166"/>
    <x v="1"/>
    <x v="1"/>
    <x v="2"/>
    <x v="0"/>
    <n v="30"/>
    <n v="33908"/>
    <n v="18240"/>
    <x v="0"/>
    <n v="52148"/>
  </r>
  <r>
    <n v="2167"/>
    <s v="Emp_1167"/>
    <x v="1"/>
    <x v="0"/>
    <x v="2"/>
    <x v="2"/>
    <n v="36"/>
    <n v="116188"/>
    <n v="5107"/>
    <x v="0"/>
    <n v="121295"/>
  </r>
  <r>
    <n v="2168"/>
    <s v="Emp_1168"/>
    <x v="1"/>
    <x v="0"/>
    <x v="3"/>
    <x v="0"/>
    <n v="23"/>
    <n v="115880"/>
    <n v="20524"/>
    <x v="0"/>
    <n v="136404"/>
  </r>
  <r>
    <n v="2169"/>
    <s v="Emp_1169"/>
    <x v="0"/>
    <x v="1"/>
    <x v="4"/>
    <x v="1"/>
    <n v="46"/>
    <n v="110570"/>
    <n v="6626"/>
    <x v="0"/>
    <n v="117196"/>
  </r>
  <r>
    <n v="2170"/>
    <s v="Emp_1170"/>
    <x v="6"/>
    <x v="0"/>
    <x v="3"/>
    <x v="3"/>
    <n v="34"/>
    <n v="111324"/>
    <n v="11229"/>
    <x v="0"/>
    <n v="122553"/>
  </r>
  <r>
    <n v="2171"/>
    <s v="Emp_1171"/>
    <x v="1"/>
    <x v="1"/>
    <x v="2"/>
    <x v="0"/>
    <n v="55"/>
    <n v="98287"/>
    <n v="11877"/>
    <x v="0"/>
    <n v="110164"/>
  </r>
  <r>
    <n v="2172"/>
    <s v="Emp_1172"/>
    <x v="3"/>
    <x v="0"/>
    <x v="0"/>
    <x v="2"/>
    <n v="55"/>
    <n v="67482"/>
    <n v="5874"/>
    <x v="0"/>
    <n v="73356"/>
  </r>
  <r>
    <n v="2173"/>
    <s v="Emp_1173"/>
    <x v="2"/>
    <x v="0"/>
    <x v="2"/>
    <x v="0"/>
    <n v="56"/>
    <n v="119329"/>
    <n v="10543"/>
    <x v="0"/>
    <n v="129872"/>
  </r>
  <r>
    <n v="2174"/>
    <s v="Emp_1174"/>
    <x v="2"/>
    <x v="0"/>
    <x v="3"/>
    <x v="0"/>
    <n v="59"/>
    <n v="118375"/>
    <n v="8809"/>
    <x v="2"/>
    <n v="127184"/>
  </r>
  <r>
    <n v="2175"/>
    <s v="Emp_1175"/>
    <x v="2"/>
    <x v="1"/>
    <x v="4"/>
    <x v="0"/>
    <n v="24"/>
    <n v="69554.53"/>
    <n v="15603"/>
    <x v="0"/>
    <n v="85157.53"/>
  </r>
  <r>
    <n v="2176"/>
    <s v="Emp_1176"/>
    <x v="0"/>
    <x v="1"/>
    <x v="4"/>
    <x v="2"/>
    <n v="27"/>
    <n v="94921"/>
    <n v="7107"/>
    <x v="0"/>
    <n v="102028"/>
  </r>
  <r>
    <n v="2177"/>
    <s v="Emp_1177"/>
    <x v="0"/>
    <x v="0"/>
    <x v="3"/>
    <x v="3"/>
    <n v="40"/>
    <n v="103768"/>
    <n v="16745"/>
    <x v="0"/>
    <n v="120513"/>
  </r>
  <r>
    <n v="2178"/>
    <s v="Emp_1178"/>
    <x v="3"/>
    <x v="0"/>
    <x v="4"/>
    <x v="1"/>
    <n v="24"/>
    <n v="35831"/>
    <n v="14465"/>
    <x v="0"/>
    <n v="50296"/>
  </r>
  <r>
    <n v="2179"/>
    <s v="Emp_1179"/>
    <x v="2"/>
    <x v="1"/>
    <x v="1"/>
    <x v="3"/>
    <n v="39"/>
    <n v="40125"/>
    <n v="5559"/>
    <x v="0"/>
    <n v="45684"/>
  </r>
  <r>
    <n v="2180"/>
    <s v="Emp_1180"/>
    <x v="2"/>
    <x v="1"/>
    <x v="0"/>
    <x v="0"/>
    <n v="30"/>
    <n v="82451"/>
    <n v="13308"/>
    <x v="0"/>
    <n v="95759"/>
  </r>
  <r>
    <n v="2181"/>
    <s v="Emp_1181"/>
    <x v="1"/>
    <x v="0"/>
    <x v="0"/>
    <x v="2"/>
    <n v="33"/>
    <n v="65708"/>
    <n v="26353"/>
    <x v="0"/>
    <n v="92061"/>
  </r>
  <r>
    <n v="2182"/>
    <s v="Emp_1182"/>
    <x v="0"/>
    <x v="0"/>
    <x v="0"/>
    <x v="3"/>
    <n v="26"/>
    <n v="37682"/>
    <n v="20250"/>
    <x v="0"/>
    <n v="57932"/>
  </r>
  <r>
    <n v="2183"/>
    <s v="Emp_1183"/>
    <x v="2"/>
    <x v="1"/>
    <x v="4"/>
    <x v="0"/>
    <n v="24"/>
    <n v="102824"/>
    <n v="18255"/>
    <x v="0"/>
    <n v="121079"/>
  </r>
  <r>
    <n v="2184"/>
    <s v="Emp_1184"/>
    <x v="4"/>
    <x v="1"/>
    <x v="4"/>
    <x v="1"/>
    <n v="32"/>
    <n v="55794"/>
    <n v="8046"/>
    <x v="0"/>
    <n v="63840"/>
  </r>
  <r>
    <n v="2185"/>
    <s v="Emp_1185"/>
    <x v="3"/>
    <x v="1"/>
    <x v="2"/>
    <x v="1"/>
    <n v="51"/>
    <n v="79372"/>
    <n v="18856"/>
    <x v="1"/>
    <n v="98228"/>
  </r>
  <r>
    <n v="2186"/>
    <s v="Emp_1186"/>
    <x v="4"/>
    <x v="1"/>
    <x v="2"/>
    <x v="1"/>
    <n v="25"/>
    <n v="59477"/>
    <n v="21427"/>
    <x v="0"/>
    <n v="80904"/>
  </r>
  <r>
    <n v="2187"/>
    <s v="Emp_1187"/>
    <x v="4"/>
    <x v="1"/>
    <x v="0"/>
    <x v="0"/>
    <n v="26"/>
    <n v="73863"/>
    <n v="5508"/>
    <x v="0"/>
    <n v="79371"/>
  </r>
  <r>
    <n v="2188"/>
    <s v="Emp_1188"/>
    <x v="3"/>
    <x v="0"/>
    <x v="1"/>
    <x v="2"/>
    <n v="22"/>
    <n v="109941"/>
    <n v="11107"/>
    <x v="0"/>
    <n v="121048"/>
  </r>
  <r>
    <n v="2189"/>
    <s v="Emp_1189"/>
    <x v="4"/>
    <x v="1"/>
    <x v="2"/>
    <x v="3"/>
    <n v="48"/>
    <n v="58737"/>
    <n v="18476"/>
    <x v="0"/>
    <n v="77213"/>
  </r>
  <r>
    <n v="2190"/>
    <s v="Emp_1190"/>
    <x v="2"/>
    <x v="0"/>
    <x v="2"/>
    <x v="1"/>
    <n v="49"/>
    <n v="22620"/>
    <n v="8439"/>
    <x v="1"/>
    <n v="31059"/>
  </r>
  <r>
    <n v="2191"/>
    <s v="Emp_1191"/>
    <x v="0"/>
    <x v="1"/>
    <x v="4"/>
    <x v="0"/>
    <n v="50"/>
    <n v="69554.53"/>
    <n v="25312"/>
    <x v="0"/>
    <n v="94866.53"/>
  </r>
  <r>
    <n v="2192"/>
    <s v="Emp_1192"/>
    <x v="3"/>
    <x v="0"/>
    <x v="1"/>
    <x v="0"/>
    <n v="39"/>
    <n v="60138"/>
    <n v="26795"/>
    <x v="0"/>
    <n v="86933"/>
  </r>
  <r>
    <n v="2193"/>
    <s v="Emp_1193"/>
    <x v="1"/>
    <x v="1"/>
    <x v="0"/>
    <x v="3"/>
    <n v="33"/>
    <n v="99390"/>
    <n v="18136"/>
    <x v="0"/>
    <n v="117526"/>
  </r>
  <r>
    <n v="2194"/>
    <s v="Emp_1194"/>
    <x v="4"/>
    <x v="1"/>
    <x v="2"/>
    <x v="1"/>
    <n v="34"/>
    <n v="73024"/>
    <n v="19167"/>
    <x v="0"/>
    <n v="92191"/>
  </r>
  <r>
    <n v="2195"/>
    <s v="Emp_1195"/>
    <x v="3"/>
    <x v="0"/>
    <x v="1"/>
    <x v="0"/>
    <n v="23"/>
    <n v="29677"/>
    <n v="22300"/>
    <x v="1"/>
    <n v="51977"/>
  </r>
  <r>
    <n v="2196"/>
    <s v="Emp_1196"/>
    <x v="5"/>
    <x v="0"/>
    <x v="1"/>
    <x v="3"/>
    <n v="58"/>
    <n v="64111"/>
    <n v="22182"/>
    <x v="1"/>
    <n v="86293"/>
  </r>
  <r>
    <n v="2197"/>
    <s v="Emp_1197"/>
    <x v="5"/>
    <x v="1"/>
    <x v="0"/>
    <x v="2"/>
    <n v="37"/>
    <n v="44074"/>
    <n v="9971"/>
    <x v="0"/>
    <n v="54045"/>
  </r>
  <r>
    <n v="2198"/>
    <s v="Emp_1198"/>
    <x v="0"/>
    <x v="1"/>
    <x v="1"/>
    <x v="2"/>
    <n v="45"/>
    <n v="37824"/>
    <n v="23144"/>
    <x v="0"/>
    <n v="60968"/>
  </r>
  <r>
    <n v="2199"/>
    <s v="Emp_1199"/>
    <x v="2"/>
    <x v="1"/>
    <x v="1"/>
    <x v="2"/>
    <n v="56"/>
    <n v="20765"/>
    <n v="24659"/>
    <x v="0"/>
    <n v="45424"/>
  </r>
  <r>
    <n v="2200"/>
    <s v="Emp_1200"/>
    <x v="0"/>
    <x v="1"/>
    <x v="1"/>
    <x v="1"/>
    <n v="43"/>
    <n v="65439"/>
    <n v="20883"/>
    <x v="0"/>
    <n v="86322"/>
  </r>
  <r>
    <n v="2201"/>
    <s v="Emp_1201"/>
    <x v="0"/>
    <x v="1"/>
    <x v="2"/>
    <x v="3"/>
    <n v="57"/>
    <n v="117151"/>
    <n v="5818"/>
    <x v="0"/>
    <n v="122969"/>
  </r>
  <r>
    <n v="2202"/>
    <s v="Emp_1202"/>
    <x v="0"/>
    <x v="0"/>
    <x v="0"/>
    <x v="3"/>
    <n v="32"/>
    <n v="68926"/>
    <n v="15360"/>
    <x v="0"/>
    <n v="84286"/>
  </r>
  <r>
    <n v="2203"/>
    <s v="Emp_1203"/>
    <x v="0"/>
    <x v="0"/>
    <x v="1"/>
    <x v="0"/>
    <n v="50"/>
    <n v="56860"/>
    <n v="26424"/>
    <x v="1"/>
    <n v="83284"/>
  </r>
  <r>
    <n v="2204"/>
    <s v="Emp_1204"/>
    <x v="1"/>
    <x v="1"/>
    <x v="1"/>
    <x v="0"/>
    <n v="56"/>
    <n v="32975"/>
    <n v="16927"/>
    <x v="0"/>
    <n v="49902"/>
  </r>
  <r>
    <n v="2205"/>
    <s v="Emp_1205"/>
    <x v="1"/>
    <x v="0"/>
    <x v="2"/>
    <x v="0"/>
    <n v="36"/>
    <n v="94877"/>
    <n v="21023"/>
    <x v="1"/>
    <n v="115900"/>
  </r>
  <r>
    <n v="2206"/>
    <s v="Emp_1206"/>
    <x v="3"/>
    <x v="0"/>
    <x v="0"/>
    <x v="3"/>
    <n v="52"/>
    <n v="113677"/>
    <n v="8065"/>
    <x v="0"/>
    <n v="121742"/>
  </r>
  <r>
    <n v="2207"/>
    <s v="Emp_1207"/>
    <x v="5"/>
    <x v="0"/>
    <x v="4"/>
    <x v="0"/>
    <n v="37"/>
    <n v="97870"/>
    <n v="8259"/>
    <x v="0"/>
    <n v="106129"/>
  </r>
  <r>
    <n v="2208"/>
    <s v="Emp_1208"/>
    <x v="0"/>
    <x v="1"/>
    <x v="2"/>
    <x v="3"/>
    <n v="31"/>
    <n v="101371"/>
    <n v="22290"/>
    <x v="1"/>
    <n v="123661"/>
  </r>
  <r>
    <n v="2209"/>
    <s v="Emp_1209"/>
    <x v="3"/>
    <x v="0"/>
    <x v="0"/>
    <x v="3"/>
    <n v="53"/>
    <n v="46548"/>
    <n v="17300"/>
    <x v="1"/>
    <n v="63848"/>
  </r>
  <r>
    <n v="2210"/>
    <s v="Emp_1210"/>
    <x v="5"/>
    <x v="1"/>
    <x v="1"/>
    <x v="2"/>
    <n v="23"/>
    <n v="110575"/>
    <n v="5602"/>
    <x v="0"/>
    <n v="116177"/>
  </r>
  <r>
    <n v="2211"/>
    <s v="Emp_1211"/>
    <x v="4"/>
    <x v="0"/>
    <x v="0"/>
    <x v="0"/>
    <n v="45"/>
    <n v="118066"/>
    <n v="9295"/>
    <x v="0"/>
    <n v="127361"/>
  </r>
  <r>
    <n v="2212"/>
    <s v="Emp_1212"/>
    <x v="2"/>
    <x v="1"/>
    <x v="0"/>
    <x v="2"/>
    <n v="44"/>
    <n v="58736"/>
    <n v="14983"/>
    <x v="0"/>
    <n v="73719"/>
  </r>
  <r>
    <n v="2213"/>
    <s v="Emp_1213"/>
    <x v="1"/>
    <x v="0"/>
    <x v="0"/>
    <x v="1"/>
    <n v="23"/>
    <n v="81562"/>
    <n v="8527"/>
    <x v="1"/>
    <n v="90089"/>
  </r>
  <r>
    <n v="2214"/>
    <s v="Emp_1214"/>
    <x v="4"/>
    <x v="1"/>
    <x v="4"/>
    <x v="1"/>
    <n v="59"/>
    <n v="60409"/>
    <n v="25927"/>
    <x v="1"/>
    <n v="86336"/>
  </r>
  <r>
    <n v="2215"/>
    <s v="Emp_1215"/>
    <x v="5"/>
    <x v="1"/>
    <x v="0"/>
    <x v="1"/>
    <n v="52"/>
    <n v="104101"/>
    <n v="6811"/>
    <x v="1"/>
    <n v="110912"/>
  </r>
  <r>
    <n v="2216"/>
    <s v="Emp_1216"/>
    <x v="4"/>
    <x v="0"/>
    <x v="4"/>
    <x v="3"/>
    <n v="47"/>
    <n v="29834"/>
    <n v="17103"/>
    <x v="0"/>
    <n v="46937"/>
  </r>
  <r>
    <n v="2217"/>
    <s v="Emp_1217"/>
    <x v="2"/>
    <x v="1"/>
    <x v="1"/>
    <x v="3"/>
    <n v="50"/>
    <n v="20840"/>
    <n v="14032"/>
    <x v="0"/>
    <n v="34872"/>
  </r>
  <r>
    <n v="2218"/>
    <s v="Emp_1218"/>
    <x v="5"/>
    <x v="1"/>
    <x v="4"/>
    <x v="3"/>
    <n v="24"/>
    <n v="99409"/>
    <n v="17877"/>
    <x v="0"/>
    <n v="117286"/>
  </r>
  <r>
    <n v="2219"/>
    <s v="Emp_1219"/>
    <x v="4"/>
    <x v="1"/>
    <x v="1"/>
    <x v="0"/>
    <n v="35"/>
    <n v="51568"/>
    <n v="12963"/>
    <x v="0"/>
    <n v="64531"/>
  </r>
  <r>
    <n v="2220"/>
    <s v="Emp_1220"/>
    <x v="1"/>
    <x v="1"/>
    <x v="1"/>
    <x v="2"/>
    <n v="46"/>
    <n v="30846"/>
    <n v="26633"/>
    <x v="0"/>
    <n v="57479"/>
  </r>
  <r>
    <n v="2221"/>
    <s v="Emp_1221"/>
    <x v="1"/>
    <x v="1"/>
    <x v="4"/>
    <x v="3"/>
    <n v="22"/>
    <n v="25899"/>
    <n v="20224"/>
    <x v="0"/>
    <n v="46123"/>
  </r>
  <r>
    <n v="2222"/>
    <s v="Emp_1222"/>
    <x v="3"/>
    <x v="1"/>
    <x v="2"/>
    <x v="2"/>
    <n v="24"/>
    <n v="106038"/>
    <n v="25999"/>
    <x v="0"/>
    <n v="132037"/>
  </r>
  <r>
    <n v="2223"/>
    <s v="Emp_1223"/>
    <x v="4"/>
    <x v="1"/>
    <x v="3"/>
    <x v="2"/>
    <n v="47"/>
    <n v="86101"/>
    <n v="13916"/>
    <x v="0"/>
    <n v="100017"/>
  </r>
  <r>
    <n v="2224"/>
    <s v="Emp_1224"/>
    <x v="0"/>
    <x v="1"/>
    <x v="0"/>
    <x v="2"/>
    <n v="39"/>
    <n v="58773"/>
    <n v="11766"/>
    <x v="0"/>
    <n v="70539"/>
  </r>
  <r>
    <n v="2225"/>
    <s v="Emp_1225"/>
    <x v="4"/>
    <x v="0"/>
    <x v="3"/>
    <x v="0"/>
    <n v="30"/>
    <n v="94723"/>
    <n v="22186"/>
    <x v="0"/>
    <n v="116909"/>
  </r>
  <r>
    <n v="2226"/>
    <s v="Emp_1226"/>
    <x v="5"/>
    <x v="0"/>
    <x v="0"/>
    <x v="0"/>
    <n v="59"/>
    <n v="92762"/>
    <n v="23966"/>
    <x v="0"/>
    <n v="116728"/>
  </r>
  <r>
    <n v="2227"/>
    <s v="Emp_1227"/>
    <x v="5"/>
    <x v="1"/>
    <x v="0"/>
    <x v="1"/>
    <n v="44"/>
    <n v="24311"/>
    <n v="27829"/>
    <x v="0"/>
    <n v="52140"/>
  </r>
  <r>
    <n v="2228"/>
    <s v="Emp_1228"/>
    <x v="4"/>
    <x v="1"/>
    <x v="1"/>
    <x v="1"/>
    <n v="42"/>
    <n v="76888"/>
    <n v="25221"/>
    <x v="0"/>
    <n v="102109"/>
  </r>
  <r>
    <n v="2229"/>
    <s v="Emp_1229"/>
    <x v="2"/>
    <x v="0"/>
    <x v="0"/>
    <x v="2"/>
    <n v="22"/>
    <n v="61616"/>
    <n v="6665"/>
    <x v="0"/>
    <n v="68281"/>
  </r>
  <r>
    <n v="2230"/>
    <s v="Emp_1230"/>
    <x v="1"/>
    <x v="2"/>
    <x v="0"/>
    <x v="1"/>
    <n v="42"/>
    <n v="72134"/>
    <n v="20932"/>
    <x v="1"/>
    <n v="93066"/>
  </r>
  <r>
    <n v="2231"/>
    <s v="Emp_1231"/>
    <x v="5"/>
    <x v="0"/>
    <x v="4"/>
    <x v="2"/>
    <n v="48"/>
    <n v="111225"/>
    <n v="11975"/>
    <x v="0"/>
    <n v="123200"/>
  </r>
  <r>
    <n v="2232"/>
    <s v="Emp_1232"/>
    <x v="1"/>
    <x v="1"/>
    <x v="3"/>
    <x v="0"/>
    <n v="27"/>
    <n v="26083"/>
    <n v="7552"/>
    <x v="1"/>
    <n v="33635"/>
  </r>
  <r>
    <n v="2233"/>
    <s v="Emp_1233"/>
    <x v="5"/>
    <x v="0"/>
    <x v="4"/>
    <x v="0"/>
    <n v="57"/>
    <n v="32598"/>
    <n v="28859"/>
    <x v="0"/>
    <n v="61457"/>
  </r>
  <r>
    <n v="2234"/>
    <s v="Emp_1234"/>
    <x v="3"/>
    <x v="1"/>
    <x v="0"/>
    <x v="0"/>
    <n v="49"/>
    <n v="102476"/>
    <n v="18219"/>
    <x v="0"/>
    <n v="120695"/>
  </r>
  <r>
    <n v="2235"/>
    <s v="Emp_1235"/>
    <x v="0"/>
    <x v="1"/>
    <x v="1"/>
    <x v="3"/>
    <n v="38"/>
    <n v="112416"/>
    <n v="19274"/>
    <x v="0"/>
    <n v="131690"/>
  </r>
  <r>
    <n v="2236"/>
    <s v="Emp_1236"/>
    <x v="5"/>
    <x v="0"/>
    <x v="4"/>
    <x v="2"/>
    <n v="24"/>
    <n v="22580"/>
    <n v="17612"/>
    <x v="1"/>
    <n v="40192"/>
  </r>
  <r>
    <n v="2237"/>
    <s v="Emp_1237"/>
    <x v="1"/>
    <x v="1"/>
    <x v="4"/>
    <x v="0"/>
    <n v="33"/>
    <n v="77395"/>
    <n v="7808"/>
    <x v="1"/>
    <n v="85203"/>
  </r>
  <r>
    <n v="2238"/>
    <s v="Emp_1238"/>
    <x v="3"/>
    <x v="1"/>
    <x v="2"/>
    <x v="2"/>
    <n v="33"/>
    <n v="62321"/>
    <n v="16090"/>
    <x v="0"/>
    <n v="78411"/>
  </r>
  <r>
    <n v="2239"/>
    <s v="Emp_1239"/>
    <x v="5"/>
    <x v="1"/>
    <x v="0"/>
    <x v="1"/>
    <n v="23"/>
    <n v="29386"/>
    <n v="27017"/>
    <x v="0"/>
    <n v="56403"/>
  </r>
  <r>
    <n v="2240"/>
    <s v="Emp_1240"/>
    <x v="2"/>
    <x v="1"/>
    <x v="1"/>
    <x v="1"/>
    <n v="43"/>
    <n v="73171"/>
    <n v="17260"/>
    <x v="0"/>
    <n v="90431"/>
  </r>
  <r>
    <n v="2241"/>
    <s v="Emp_1241"/>
    <x v="0"/>
    <x v="0"/>
    <x v="4"/>
    <x v="0"/>
    <n v="44"/>
    <n v="39522"/>
    <n v="20295"/>
    <x v="0"/>
    <n v="59817"/>
  </r>
  <r>
    <n v="2242"/>
    <s v="Emp_1242"/>
    <x v="5"/>
    <x v="0"/>
    <x v="4"/>
    <x v="2"/>
    <n v="51"/>
    <n v="85532"/>
    <n v="19837"/>
    <x v="0"/>
    <n v="105369"/>
  </r>
  <r>
    <n v="2243"/>
    <s v="Emp_1243"/>
    <x v="3"/>
    <x v="1"/>
    <x v="1"/>
    <x v="0"/>
    <n v="26"/>
    <n v="111760"/>
    <n v="27480"/>
    <x v="0"/>
    <n v="139240"/>
  </r>
  <r>
    <n v="2244"/>
    <s v="Emp_1244"/>
    <x v="2"/>
    <x v="1"/>
    <x v="0"/>
    <x v="1"/>
    <n v="30"/>
    <n v="34635"/>
    <n v="19669"/>
    <x v="0"/>
    <n v="54304"/>
  </r>
  <r>
    <n v="2245"/>
    <s v="Emp_1245"/>
    <x v="4"/>
    <x v="0"/>
    <x v="2"/>
    <x v="0"/>
    <n v="42"/>
    <n v="20671"/>
    <n v="15523"/>
    <x v="0"/>
    <n v="36194"/>
  </r>
  <r>
    <n v="2246"/>
    <s v="Emp_1246"/>
    <x v="3"/>
    <x v="1"/>
    <x v="4"/>
    <x v="2"/>
    <n v="32"/>
    <n v="53545"/>
    <n v="17762"/>
    <x v="0"/>
    <n v="71307"/>
  </r>
  <r>
    <n v="2247"/>
    <s v="Emp_1247"/>
    <x v="3"/>
    <x v="0"/>
    <x v="2"/>
    <x v="1"/>
    <n v="26"/>
    <n v="74079"/>
    <n v="18769"/>
    <x v="0"/>
    <n v="92848"/>
  </r>
  <r>
    <n v="2248"/>
    <s v="Emp_1248"/>
    <x v="2"/>
    <x v="1"/>
    <x v="3"/>
    <x v="3"/>
    <n v="56"/>
    <n v="46855"/>
    <n v="18731"/>
    <x v="1"/>
    <n v="65586"/>
  </r>
  <r>
    <n v="2249"/>
    <s v="Emp_1249"/>
    <x v="3"/>
    <x v="1"/>
    <x v="0"/>
    <x v="1"/>
    <n v="48"/>
    <n v="55790"/>
    <n v="16877"/>
    <x v="0"/>
    <n v="72667"/>
  </r>
  <r>
    <n v="2250"/>
    <s v="Emp_1250"/>
    <x v="2"/>
    <x v="0"/>
    <x v="3"/>
    <x v="3"/>
    <n v="23"/>
    <n v="71012"/>
    <n v="7456"/>
    <x v="1"/>
    <n v="78468"/>
  </r>
  <r>
    <n v="2251"/>
    <s v="Emp_1251"/>
    <x v="5"/>
    <x v="0"/>
    <x v="3"/>
    <x v="0"/>
    <n v="45"/>
    <n v="34260"/>
    <n v="10423"/>
    <x v="0"/>
    <n v="44683"/>
  </r>
  <r>
    <n v="2252"/>
    <s v="Emp_1252"/>
    <x v="2"/>
    <x v="0"/>
    <x v="3"/>
    <x v="0"/>
    <n v="52"/>
    <n v="85139"/>
    <n v="19246"/>
    <x v="0"/>
    <n v="104385"/>
  </r>
  <r>
    <n v="2253"/>
    <s v="Emp_1253"/>
    <x v="2"/>
    <x v="0"/>
    <x v="0"/>
    <x v="2"/>
    <n v="54"/>
    <n v="21074"/>
    <n v="17846"/>
    <x v="0"/>
    <n v="38920"/>
  </r>
  <r>
    <n v="2254"/>
    <s v="Emp_1254"/>
    <x v="0"/>
    <x v="1"/>
    <x v="0"/>
    <x v="3"/>
    <n v="51"/>
    <n v="62676"/>
    <n v="9317"/>
    <x v="0"/>
    <n v="71993"/>
  </r>
  <r>
    <n v="2255"/>
    <s v="Emp_1255"/>
    <x v="2"/>
    <x v="0"/>
    <x v="1"/>
    <x v="0"/>
    <n v="58"/>
    <n v="29475"/>
    <n v="22940"/>
    <x v="1"/>
    <n v="52415"/>
  </r>
  <r>
    <n v="2256"/>
    <s v="Emp_1256"/>
    <x v="2"/>
    <x v="1"/>
    <x v="2"/>
    <x v="3"/>
    <n v="49"/>
    <n v="98414"/>
    <n v="23589"/>
    <x v="0"/>
    <n v="122003"/>
  </r>
  <r>
    <n v="2257"/>
    <s v="Emp_1257"/>
    <x v="4"/>
    <x v="0"/>
    <x v="2"/>
    <x v="0"/>
    <n v="52"/>
    <n v="35120"/>
    <n v="17635"/>
    <x v="0"/>
    <n v="52755"/>
  </r>
  <r>
    <n v="2258"/>
    <s v="Emp_1258"/>
    <x v="5"/>
    <x v="0"/>
    <x v="1"/>
    <x v="1"/>
    <n v="32"/>
    <n v="43147"/>
    <n v="18470"/>
    <x v="1"/>
    <n v="61617"/>
  </r>
  <r>
    <n v="2259"/>
    <s v="Emp_1259"/>
    <x v="0"/>
    <x v="1"/>
    <x v="1"/>
    <x v="0"/>
    <n v="44"/>
    <n v="21986"/>
    <n v="18176"/>
    <x v="0"/>
    <n v="40162"/>
  </r>
  <r>
    <n v="2260"/>
    <s v="Emp_1260"/>
    <x v="4"/>
    <x v="0"/>
    <x v="3"/>
    <x v="2"/>
    <n v="23"/>
    <n v="52430"/>
    <n v="25339"/>
    <x v="0"/>
    <n v="77769"/>
  </r>
  <r>
    <n v="2261"/>
    <s v="Emp_1261"/>
    <x v="1"/>
    <x v="0"/>
    <x v="1"/>
    <x v="1"/>
    <n v="48"/>
    <n v="75479"/>
    <n v="14113"/>
    <x v="0"/>
    <n v="89592"/>
  </r>
  <r>
    <n v="2262"/>
    <s v="Emp_1262"/>
    <x v="5"/>
    <x v="0"/>
    <x v="4"/>
    <x v="2"/>
    <n v="56"/>
    <n v="102966"/>
    <n v="18546"/>
    <x v="0"/>
    <n v="121512"/>
  </r>
  <r>
    <n v="2263"/>
    <s v="Emp_1263"/>
    <x v="5"/>
    <x v="0"/>
    <x v="2"/>
    <x v="1"/>
    <n v="23"/>
    <n v="22176"/>
    <n v="11805"/>
    <x v="0"/>
    <n v="33981"/>
  </r>
  <r>
    <n v="2264"/>
    <s v="Emp_1264"/>
    <x v="1"/>
    <x v="1"/>
    <x v="1"/>
    <x v="3"/>
    <n v="58"/>
    <n v="104258"/>
    <n v="21788"/>
    <x v="0"/>
    <n v="126046"/>
  </r>
  <r>
    <n v="2265"/>
    <s v="Emp_1265"/>
    <x v="2"/>
    <x v="1"/>
    <x v="4"/>
    <x v="2"/>
    <n v="42"/>
    <n v="104153"/>
    <n v="23004"/>
    <x v="0"/>
    <n v="127157"/>
  </r>
  <r>
    <n v="2266"/>
    <s v="Emp_1266"/>
    <x v="4"/>
    <x v="0"/>
    <x v="4"/>
    <x v="0"/>
    <n v="26"/>
    <n v="81918"/>
    <n v="24336"/>
    <x v="0"/>
    <n v="106254"/>
  </r>
  <r>
    <n v="2267"/>
    <s v="Emp_1267"/>
    <x v="3"/>
    <x v="0"/>
    <x v="4"/>
    <x v="3"/>
    <n v="42"/>
    <n v="47115"/>
    <n v="13080"/>
    <x v="0"/>
    <n v="60195"/>
  </r>
  <r>
    <n v="2268"/>
    <s v="Emp_1268"/>
    <x v="0"/>
    <x v="0"/>
    <x v="4"/>
    <x v="0"/>
    <n v="50"/>
    <n v="97442"/>
    <n v="8118"/>
    <x v="0"/>
    <n v="105560"/>
  </r>
  <r>
    <n v="2269"/>
    <s v="Emp_1269"/>
    <x v="3"/>
    <x v="1"/>
    <x v="3"/>
    <x v="1"/>
    <n v="41"/>
    <n v="60002"/>
    <n v="28764"/>
    <x v="1"/>
    <n v="88766"/>
  </r>
  <r>
    <n v="2270"/>
    <s v="Emp_1270"/>
    <x v="1"/>
    <x v="1"/>
    <x v="4"/>
    <x v="1"/>
    <n v="59"/>
    <n v="77124"/>
    <n v="11630"/>
    <x v="1"/>
    <n v="88754"/>
  </r>
  <r>
    <n v="2271"/>
    <s v="Emp_1271"/>
    <x v="5"/>
    <x v="1"/>
    <x v="3"/>
    <x v="0"/>
    <n v="41"/>
    <n v="26610"/>
    <n v="5565"/>
    <x v="0"/>
    <n v="32175"/>
  </r>
  <r>
    <n v="2272"/>
    <s v="Emp_1272"/>
    <x v="5"/>
    <x v="1"/>
    <x v="3"/>
    <x v="0"/>
    <n v="46"/>
    <n v="69752"/>
    <n v="20701"/>
    <x v="0"/>
    <n v="90453"/>
  </r>
  <r>
    <n v="2273"/>
    <s v="Emp_1273"/>
    <x v="0"/>
    <x v="2"/>
    <x v="4"/>
    <x v="3"/>
    <n v="23"/>
    <n v="98947"/>
    <n v="19859"/>
    <x v="0"/>
    <n v="118806"/>
  </r>
  <r>
    <n v="2274"/>
    <s v="Emp_1274"/>
    <x v="5"/>
    <x v="0"/>
    <x v="2"/>
    <x v="0"/>
    <n v="53"/>
    <n v="94716"/>
    <n v="26183"/>
    <x v="0"/>
    <n v="120899"/>
  </r>
  <r>
    <n v="2275"/>
    <s v="Emp_1275"/>
    <x v="5"/>
    <x v="0"/>
    <x v="4"/>
    <x v="2"/>
    <n v="47"/>
    <n v="67993"/>
    <n v="12670"/>
    <x v="0"/>
    <n v="80663"/>
  </r>
  <r>
    <n v="2276"/>
    <s v="Emp_1276"/>
    <x v="0"/>
    <x v="1"/>
    <x v="4"/>
    <x v="2"/>
    <n v="27"/>
    <n v="30073"/>
    <n v="24252"/>
    <x v="2"/>
    <n v="54325"/>
  </r>
  <r>
    <n v="2277"/>
    <s v="Emp_1277"/>
    <x v="4"/>
    <x v="0"/>
    <x v="4"/>
    <x v="0"/>
    <n v="24"/>
    <n v="57251"/>
    <n v="14476"/>
    <x v="0"/>
    <n v="71727"/>
  </r>
  <r>
    <n v="2278"/>
    <s v="Emp_1278"/>
    <x v="4"/>
    <x v="1"/>
    <x v="2"/>
    <x v="2"/>
    <n v="54"/>
    <n v="116496"/>
    <n v="13776"/>
    <x v="0"/>
    <n v="130272"/>
  </r>
  <r>
    <n v="2279"/>
    <s v="Emp_1279"/>
    <x v="0"/>
    <x v="1"/>
    <x v="0"/>
    <x v="0"/>
    <n v="22"/>
    <n v="91437"/>
    <n v="20021"/>
    <x v="0"/>
    <n v="111458"/>
  </r>
  <r>
    <n v="2280"/>
    <s v="Emp_1280"/>
    <x v="1"/>
    <x v="0"/>
    <x v="0"/>
    <x v="3"/>
    <n v="26"/>
    <n v="58897"/>
    <n v="9327"/>
    <x v="0"/>
    <n v="68224"/>
  </r>
  <r>
    <n v="2281"/>
    <s v="Emp_1281"/>
    <x v="5"/>
    <x v="0"/>
    <x v="3"/>
    <x v="2"/>
    <n v="34"/>
    <n v="70906"/>
    <n v="27797"/>
    <x v="0"/>
    <n v="98703"/>
  </r>
  <r>
    <n v="2282"/>
    <s v="Emp_1282"/>
    <x v="5"/>
    <x v="0"/>
    <x v="3"/>
    <x v="2"/>
    <n v="40"/>
    <n v="71616"/>
    <n v="20275"/>
    <x v="0"/>
    <n v="91891"/>
  </r>
  <r>
    <n v="2283"/>
    <s v="Emp_1283"/>
    <x v="1"/>
    <x v="2"/>
    <x v="2"/>
    <x v="0"/>
    <n v="33"/>
    <n v="24482"/>
    <n v="12614"/>
    <x v="1"/>
    <n v="37096"/>
  </r>
  <r>
    <n v="2284"/>
    <s v="Emp_1284"/>
    <x v="4"/>
    <x v="1"/>
    <x v="1"/>
    <x v="2"/>
    <n v="46"/>
    <n v="110964"/>
    <n v="6245"/>
    <x v="0"/>
    <n v="117209"/>
  </r>
  <r>
    <n v="2285"/>
    <s v="Emp_1285"/>
    <x v="2"/>
    <x v="0"/>
    <x v="0"/>
    <x v="1"/>
    <n v="56"/>
    <n v="92936"/>
    <n v="13243"/>
    <x v="0"/>
    <n v="106179"/>
  </r>
  <r>
    <n v="2286"/>
    <s v="Emp_1286"/>
    <x v="2"/>
    <x v="0"/>
    <x v="3"/>
    <x v="3"/>
    <n v="33"/>
    <n v="59574"/>
    <n v="15355"/>
    <x v="0"/>
    <n v="74929"/>
  </r>
  <r>
    <n v="2287"/>
    <s v="Emp_1287"/>
    <x v="2"/>
    <x v="1"/>
    <x v="0"/>
    <x v="3"/>
    <n v="51"/>
    <n v="63284"/>
    <n v="5537"/>
    <x v="0"/>
    <n v="68821"/>
  </r>
  <r>
    <n v="2288"/>
    <s v="Emp_1288"/>
    <x v="4"/>
    <x v="0"/>
    <x v="2"/>
    <x v="2"/>
    <n v="26"/>
    <n v="92932"/>
    <n v="20924"/>
    <x v="1"/>
    <n v="113856"/>
  </r>
  <r>
    <n v="2289"/>
    <s v="Emp_1289"/>
    <x v="4"/>
    <x v="1"/>
    <x v="2"/>
    <x v="2"/>
    <n v="55"/>
    <n v="27338"/>
    <n v="21236"/>
    <x v="1"/>
    <n v="48574"/>
  </r>
  <r>
    <n v="2290"/>
    <s v="Emp_1290"/>
    <x v="1"/>
    <x v="1"/>
    <x v="1"/>
    <x v="1"/>
    <n v="43"/>
    <n v="62718"/>
    <n v="21924"/>
    <x v="0"/>
    <n v="84642"/>
  </r>
  <r>
    <n v="2291"/>
    <s v="Emp_1291"/>
    <x v="5"/>
    <x v="0"/>
    <x v="1"/>
    <x v="1"/>
    <n v="34"/>
    <n v="32500"/>
    <n v="22198"/>
    <x v="0"/>
    <n v="54698"/>
  </r>
  <r>
    <n v="2292"/>
    <s v="Emp_1292"/>
    <x v="1"/>
    <x v="0"/>
    <x v="2"/>
    <x v="2"/>
    <n v="24"/>
    <n v="31545"/>
    <n v="6415"/>
    <x v="0"/>
    <n v="37960"/>
  </r>
  <r>
    <n v="2293"/>
    <s v="Emp_1293"/>
    <x v="1"/>
    <x v="0"/>
    <x v="3"/>
    <x v="2"/>
    <n v="41"/>
    <n v="81480"/>
    <n v="16030"/>
    <x v="0"/>
    <n v="97510"/>
  </r>
  <r>
    <n v="2294"/>
    <s v="Emp_1294"/>
    <x v="4"/>
    <x v="0"/>
    <x v="0"/>
    <x v="1"/>
    <n v="52"/>
    <n v="25241"/>
    <n v="6652"/>
    <x v="0"/>
    <n v="31893"/>
  </r>
  <r>
    <n v="2295"/>
    <s v="Emp_1295"/>
    <x v="2"/>
    <x v="1"/>
    <x v="4"/>
    <x v="0"/>
    <n v="26"/>
    <n v="109314"/>
    <n v="15857"/>
    <x v="0"/>
    <n v="125171"/>
  </r>
  <r>
    <n v="2296"/>
    <s v="Emp_1296"/>
    <x v="3"/>
    <x v="1"/>
    <x v="1"/>
    <x v="1"/>
    <n v="45"/>
    <n v="42821"/>
    <n v="25446"/>
    <x v="0"/>
    <n v="68267"/>
  </r>
  <r>
    <n v="2297"/>
    <s v="Emp_1297"/>
    <x v="5"/>
    <x v="1"/>
    <x v="4"/>
    <x v="0"/>
    <n v="54"/>
    <n v="24695"/>
    <n v="23740"/>
    <x v="0"/>
    <n v="48435"/>
  </r>
  <r>
    <n v="2298"/>
    <s v="Emp_1298"/>
    <x v="4"/>
    <x v="0"/>
    <x v="3"/>
    <x v="3"/>
    <n v="29"/>
    <n v="97066"/>
    <n v="8810"/>
    <x v="0"/>
    <n v="105876"/>
  </r>
  <r>
    <n v="2299"/>
    <s v="Emp_1299"/>
    <x v="2"/>
    <x v="1"/>
    <x v="1"/>
    <x v="3"/>
    <n v="45"/>
    <n v="34318"/>
    <n v="21569"/>
    <x v="1"/>
    <n v="55887"/>
  </r>
  <r>
    <n v="2300"/>
    <s v="Emp_1300"/>
    <x v="3"/>
    <x v="0"/>
    <x v="4"/>
    <x v="1"/>
    <n v="41"/>
    <n v="70934"/>
    <n v="6551"/>
    <x v="0"/>
    <n v="77485"/>
  </r>
  <r>
    <n v="2301"/>
    <s v="Emp_1301"/>
    <x v="3"/>
    <x v="0"/>
    <x v="3"/>
    <x v="0"/>
    <n v="37"/>
    <n v="42331"/>
    <n v="18584"/>
    <x v="1"/>
    <n v="60915"/>
  </r>
  <r>
    <n v="2302"/>
    <s v="Emp_1302"/>
    <x v="4"/>
    <x v="0"/>
    <x v="0"/>
    <x v="1"/>
    <n v="33"/>
    <n v="72672"/>
    <n v="28397"/>
    <x v="0"/>
    <n v="101069"/>
  </r>
  <r>
    <n v="2303"/>
    <s v="Emp_1303"/>
    <x v="0"/>
    <x v="0"/>
    <x v="3"/>
    <x v="1"/>
    <n v="34"/>
    <n v="111891"/>
    <n v="5761"/>
    <x v="0"/>
    <n v="117652"/>
  </r>
  <r>
    <n v="2304"/>
    <s v="Emp_1304"/>
    <x v="5"/>
    <x v="0"/>
    <x v="1"/>
    <x v="0"/>
    <n v="46"/>
    <n v="96860"/>
    <n v="17511"/>
    <x v="1"/>
    <n v="114371"/>
  </r>
  <r>
    <n v="2305"/>
    <s v="Emp_1305"/>
    <x v="3"/>
    <x v="0"/>
    <x v="2"/>
    <x v="1"/>
    <n v="53"/>
    <n v="113685"/>
    <n v="14471"/>
    <x v="0"/>
    <n v="128156"/>
  </r>
  <r>
    <n v="2306"/>
    <s v="Emp_1306"/>
    <x v="4"/>
    <x v="1"/>
    <x v="0"/>
    <x v="3"/>
    <n v="45"/>
    <n v="88754"/>
    <n v="17467"/>
    <x v="0"/>
    <n v="106221"/>
  </r>
  <r>
    <n v="2307"/>
    <s v="Emp_1307"/>
    <x v="4"/>
    <x v="0"/>
    <x v="4"/>
    <x v="2"/>
    <n v="30"/>
    <n v="105677"/>
    <n v="11163"/>
    <x v="1"/>
    <n v="116840"/>
  </r>
  <r>
    <n v="2308"/>
    <s v="Emp_1308"/>
    <x v="2"/>
    <x v="1"/>
    <x v="1"/>
    <x v="2"/>
    <n v="44"/>
    <n v="22837"/>
    <n v="21065"/>
    <x v="1"/>
    <n v="43902"/>
  </r>
  <r>
    <n v="2309"/>
    <s v="Emp_1309"/>
    <x v="0"/>
    <x v="1"/>
    <x v="2"/>
    <x v="1"/>
    <n v="34"/>
    <n v="60077"/>
    <n v="29019"/>
    <x v="0"/>
    <n v="89096"/>
  </r>
  <r>
    <n v="2310"/>
    <s v="Emp_1310"/>
    <x v="5"/>
    <x v="0"/>
    <x v="3"/>
    <x v="0"/>
    <n v="53"/>
    <n v="99915"/>
    <n v="16886"/>
    <x v="0"/>
    <n v="116801"/>
  </r>
  <r>
    <n v="2311"/>
    <s v="Emp_1311"/>
    <x v="1"/>
    <x v="0"/>
    <x v="2"/>
    <x v="0"/>
    <n v="36"/>
    <n v="24239"/>
    <n v="24665"/>
    <x v="0"/>
    <n v="48904"/>
  </r>
  <r>
    <n v="2312"/>
    <s v="Emp_1312"/>
    <x v="2"/>
    <x v="0"/>
    <x v="1"/>
    <x v="3"/>
    <n v="57"/>
    <n v="106348"/>
    <n v="22920"/>
    <x v="2"/>
    <n v="129268"/>
  </r>
  <r>
    <n v="2313"/>
    <s v="Emp_1313"/>
    <x v="3"/>
    <x v="1"/>
    <x v="1"/>
    <x v="0"/>
    <n v="26"/>
    <n v="49669"/>
    <n v="11201"/>
    <x v="0"/>
    <n v="60870"/>
  </r>
  <r>
    <n v="2314"/>
    <s v="Emp_1314"/>
    <x v="3"/>
    <x v="0"/>
    <x v="2"/>
    <x v="0"/>
    <n v="43"/>
    <n v="68624"/>
    <n v="24548"/>
    <x v="0"/>
    <n v="93172"/>
  </r>
  <r>
    <n v="2315"/>
    <s v="Emp_1315"/>
    <x v="2"/>
    <x v="1"/>
    <x v="3"/>
    <x v="3"/>
    <n v="37"/>
    <n v="95147"/>
    <n v="20580"/>
    <x v="0"/>
    <n v="115727"/>
  </r>
  <r>
    <n v="2316"/>
    <s v="Emp_1316"/>
    <x v="4"/>
    <x v="0"/>
    <x v="2"/>
    <x v="1"/>
    <n v="31"/>
    <n v="24150"/>
    <n v="24154"/>
    <x v="0"/>
    <n v="48304"/>
  </r>
  <r>
    <n v="2317"/>
    <s v="Emp_1317"/>
    <x v="3"/>
    <x v="0"/>
    <x v="1"/>
    <x v="2"/>
    <n v="45"/>
    <n v="31109"/>
    <n v="12399"/>
    <x v="0"/>
    <n v="43508"/>
  </r>
  <r>
    <n v="2318"/>
    <s v="Emp_1318"/>
    <x v="0"/>
    <x v="1"/>
    <x v="1"/>
    <x v="3"/>
    <n v="39"/>
    <n v="119750"/>
    <n v="25229"/>
    <x v="0"/>
    <n v="144979"/>
  </r>
  <r>
    <n v="2319"/>
    <s v="Emp_1319"/>
    <x v="5"/>
    <x v="1"/>
    <x v="4"/>
    <x v="1"/>
    <n v="39"/>
    <n v="46016"/>
    <n v="24819"/>
    <x v="1"/>
    <n v="70835"/>
  </r>
  <r>
    <n v="2320"/>
    <s v="Emp_1320"/>
    <x v="0"/>
    <x v="0"/>
    <x v="4"/>
    <x v="3"/>
    <n v="28"/>
    <n v="31936"/>
    <n v="26094"/>
    <x v="2"/>
    <n v="58030"/>
  </r>
  <r>
    <n v="2321"/>
    <s v="Emp_1321"/>
    <x v="3"/>
    <x v="1"/>
    <x v="0"/>
    <x v="1"/>
    <n v="25"/>
    <n v="31036"/>
    <n v="21945"/>
    <x v="0"/>
    <n v="52981"/>
  </r>
  <r>
    <n v="2322"/>
    <s v="Emp_1322"/>
    <x v="1"/>
    <x v="1"/>
    <x v="1"/>
    <x v="3"/>
    <n v="47"/>
    <n v="59236"/>
    <n v="26101"/>
    <x v="0"/>
    <n v="85337"/>
  </r>
  <r>
    <n v="2323"/>
    <s v="Emp_1323"/>
    <x v="5"/>
    <x v="1"/>
    <x v="4"/>
    <x v="1"/>
    <n v="26"/>
    <n v="34021"/>
    <n v="12623"/>
    <x v="0"/>
    <n v="46644"/>
  </r>
  <r>
    <n v="2324"/>
    <s v="Emp_1324"/>
    <x v="5"/>
    <x v="1"/>
    <x v="2"/>
    <x v="3"/>
    <n v="37"/>
    <n v="56943"/>
    <n v="15327"/>
    <x v="0"/>
    <n v="72270"/>
  </r>
  <r>
    <n v="2325"/>
    <s v="Emp_1325"/>
    <x v="2"/>
    <x v="1"/>
    <x v="3"/>
    <x v="1"/>
    <n v="56"/>
    <n v="101007"/>
    <n v="12187"/>
    <x v="0"/>
    <n v="113194"/>
  </r>
  <r>
    <n v="2326"/>
    <s v="Emp_1326"/>
    <x v="2"/>
    <x v="0"/>
    <x v="2"/>
    <x v="3"/>
    <n v="47"/>
    <n v="70016"/>
    <n v="7180"/>
    <x v="1"/>
    <n v="77196"/>
  </r>
  <r>
    <n v="2327"/>
    <s v="Emp_1327"/>
    <x v="1"/>
    <x v="0"/>
    <x v="3"/>
    <x v="2"/>
    <n v="39"/>
    <n v="43244"/>
    <n v="6960"/>
    <x v="0"/>
    <n v="50204"/>
  </r>
  <r>
    <n v="2328"/>
    <s v="Emp_1328"/>
    <x v="4"/>
    <x v="1"/>
    <x v="4"/>
    <x v="2"/>
    <n v="50"/>
    <n v="83027"/>
    <n v="25263"/>
    <x v="0"/>
    <n v="108290"/>
  </r>
  <r>
    <n v="2329"/>
    <s v="Emp_1329"/>
    <x v="5"/>
    <x v="0"/>
    <x v="0"/>
    <x v="0"/>
    <n v="44"/>
    <n v="58985"/>
    <n v="10153"/>
    <x v="1"/>
    <n v="69138"/>
  </r>
  <r>
    <n v="2330"/>
    <s v="Emp_1330"/>
    <x v="1"/>
    <x v="0"/>
    <x v="2"/>
    <x v="1"/>
    <n v="35"/>
    <n v="21502"/>
    <n v="12035"/>
    <x v="0"/>
    <n v="33537"/>
  </r>
  <r>
    <n v="2331"/>
    <s v="Emp_1331"/>
    <x v="2"/>
    <x v="1"/>
    <x v="2"/>
    <x v="3"/>
    <n v="36"/>
    <n v="73836"/>
    <n v="16471"/>
    <x v="0"/>
    <n v="90307"/>
  </r>
  <r>
    <n v="2332"/>
    <s v="Emp_1332"/>
    <x v="2"/>
    <x v="0"/>
    <x v="2"/>
    <x v="1"/>
    <n v="54"/>
    <n v="119714"/>
    <n v="24654"/>
    <x v="1"/>
    <n v="144368"/>
  </r>
  <r>
    <n v="2333"/>
    <s v="Emp_1333"/>
    <x v="5"/>
    <x v="1"/>
    <x v="3"/>
    <x v="2"/>
    <n v="46"/>
    <n v="23770"/>
    <n v="26071"/>
    <x v="0"/>
    <n v="49841"/>
  </r>
  <r>
    <n v="2334"/>
    <s v="Emp_1334"/>
    <x v="0"/>
    <x v="1"/>
    <x v="4"/>
    <x v="1"/>
    <n v="42"/>
    <n v="62865"/>
    <n v="5582"/>
    <x v="0"/>
    <n v="68447"/>
  </r>
  <r>
    <n v="2335"/>
    <s v="Emp_1335"/>
    <x v="3"/>
    <x v="0"/>
    <x v="2"/>
    <x v="3"/>
    <n v="38"/>
    <n v="73811"/>
    <n v="20514"/>
    <x v="0"/>
    <n v="94325"/>
  </r>
  <r>
    <n v="2336"/>
    <s v="Emp_1336"/>
    <x v="2"/>
    <x v="1"/>
    <x v="2"/>
    <x v="1"/>
    <n v="44"/>
    <n v="24001"/>
    <n v="20531"/>
    <x v="0"/>
    <n v="44532"/>
  </r>
  <r>
    <n v="2337"/>
    <s v="Emp_1337"/>
    <x v="4"/>
    <x v="1"/>
    <x v="0"/>
    <x v="3"/>
    <n v="38"/>
    <n v="80848"/>
    <n v="21672"/>
    <x v="0"/>
    <n v="102520"/>
  </r>
  <r>
    <n v="2338"/>
    <s v="Emp_1338"/>
    <x v="4"/>
    <x v="1"/>
    <x v="0"/>
    <x v="2"/>
    <n v="35"/>
    <n v="72635"/>
    <n v="27048"/>
    <x v="0"/>
    <n v="99683"/>
  </r>
  <r>
    <n v="2339"/>
    <s v="Emp_1339"/>
    <x v="2"/>
    <x v="1"/>
    <x v="4"/>
    <x v="2"/>
    <n v="50"/>
    <n v="40946"/>
    <n v="12979"/>
    <x v="0"/>
    <n v="53925"/>
  </r>
  <r>
    <n v="2340"/>
    <s v="Emp_1340"/>
    <x v="0"/>
    <x v="1"/>
    <x v="4"/>
    <x v="2"/>
    <n v="41"/>
    <n v="86134"/>
    <n v="25243"/>
    <x v="0"/>
    <n v="111377"/>
  </r>
  <r>
    <n v="2341"/>
    <s v="Emp_1341"/>
    <x v="0"/>
    <x v="0"/>
    <x v="1"/>
    <x v="0"/>
    <n v="51"/>
    <n v="115852"/>
    <n v="8060"/>
    <x v="1"/>
    <n v="123912"/>
  </r>
  <r>
    <n v="2342"/>
    <s v="Emp_1342"/>
    <x v="1"/>
    <x v="0"/>
    <x v="0"/>
    <x v="2"/>
    <n v="40"/>
    <n v="111103"/>
    <n v="18731"/>
    <x v="0"/>
    <n v="129834"/>
  </r>
  <r>
    <n v="2343"/>
    <s v="Emp_1343"/>
    <x v="4"/>
    <x v="1"/>
    <x v="1"/>
    <x v="1"/>
    <n v="34"/>
    <n v="112044"/>
    <n v="17294"/>
    <x v="1"/>
    <n v="129338"/>
  </r>
  <r>
    <n v="2344"/>
    <s v="Emp_1344"/>
    <x v="1"/>
    <x v="1"/>
    <x v="3"/>
    <x v="0"/>
    <n v="39"/>
    <n v="63744"/>
    <n v="22567"/>
    <x v="0"/>
    <n v="86311"/>
  </r>
  <r>
    <n v="2345"/>
    <s v="Emp_1345"/>
    <x v="4"/>
    <x v="0"/>
    <x v="1"/>
    <x v="2"/>
    <n v="44"/>
    <n v="59159"/>
    <n v="25719"/>
    <x v="1"/>
    <n v="84878"/>
  </r>
  <r>
    <n v="2346"/>
    <s v="Emp_1346"/>
    <x v="3"/>
    <x v="1"/>
    <x v="2"/>
    <x v="1"/>
    <n v="54"/>
    <n v="115812"/>
    <n v="19274"/>
    <x v="0"/>
    <n v="135086"/>
  </r>
  <r>
    <n v="2347"/>
    <s v="Emp_1347"/>
    <x v="3"/>
    <x v="0"/>
    <x v="1"/>
    <x v="1"/>
    <n v="39"/>
    <n v="43671"/>
    <n v="22830"/>
    <x v="0"/>
    <n v="66501"/>
  </r>
  <r>
    <n v="2348"/>
    <s v="Emp_1348"/>
    <x v="5"/>
    <x v="1"/>
    <x v="4"/>
    <x v="1"/>
    <n v="30"/>
    <n v="36450"/>
    <n v="21348"/>
    <x v="0"/>
    <n v="57798"/>
  </r>
  <r>
    <n v="2349"/>
    <s v="Emp_1349"/>
    <x v="1"/>
    <x v="1"/>
    <x v="3"/>
    <x v="3"/>
    <n v="54"/>
    <n v="34908"/>
    <n v="28063"/>
    <x v="0"/>
    <n v="62971"/>
  </r>
  <r>
    <n v="2350"/>
    <s v="Emp_1350"/>
    <x v="2"/>
    <x v="1"/>
    <x v="2"/>
    <x v="0"/>
    <n v="53"/>
    <n v="77275"/>
    <n v="27597"/>
    <x v="0"/>
    <n v="104872"/>
  </r>
  <r>
    <n v="2351"/>
    <s v="Emp_1351"/>
    <x v="1"/>
    <x v="1"/>
    <x v="1"/>
    <x v="1"/>
    <n v="38"/>
    <n v="64358"/>
    <n v="6903"/>
    <x v="0"/>
    <n v="71261"/>
  </r>
  <r>
    <n v="2352"/>
    <s v="Emp_1352"/>
    <x v="2"/>
    <x v="1"/>
    <x v="3"/>
    <x v="3"/>
    <n v="40"/>
    <n v="69047"/>
    <n v="19551"/>
    <x v="0"/>
    <n v="88598"/>
  </r>
  <r>
    <n v="2353"/>
    <s v="Emp_1353"/>
    <x v="0"/>
    <x v="1"/>
    <x v="3"/>
    <x v="2"/>
    <n v="48"/>
    <n v="55518"/>
    <n v="29278"/>
    <x v="0"/>
    <n v="84796"/>
  </r>
  <r>
    <n v="2354"/>
    <s v="Emp_1354"/>
    <x v="1"/>
    <x v="1"/>
    <x v="2"/>
    <x v="1"/>
    <n v="27"/>
    <n v="77813"/>
    <n v="20141"/>
    <x v="1"/>
    <n v="97954"/>
  </r>
  <r>
    <n v="2355"/>
    <s v="Emp_1355"/>
    <x v="0"/>
    <x v="0"/>
    <x v="1"/>
    <x v="3"/>
    <n v="56"/>
    <n v="116748"/>
    <n v="7377"/>
    <x v="0"/>
    <n v="124125"/>
  </r>
  <r>
    <n v="2356"/>
    <s v="Emp_1356"/>
    <x v="3"/>
    <x v="0"/>
    <x v="3"/>
    <x v="1"/>
    <n v="58"/>
    <n v="26806"/>
    <n v="5847"/>
    <x v="0"/>
    <n v="32653"/>
  </r>
  <r>
    <n v="2357"/>
    <s v="Emp_1357"/>
    <x v="3"/>
    <x v="0"/>
    <x v="3"/>
    <x v="0"/>
    <n v="55"/>
    <n v="60891"/>
    <n v="28754"/>
    <x v="0"/>
    <n v="89645"/>
  </r>
  <r>
    <n v="2358"/>
    <s v="Emp_1358"/>
    <x v="5"/>
    <x v="1"/>
    <x v="0"/>
    <x v="0"/>
    <n v="41"/>
    <n v="103551"/>
    <n v="19380"/>
    <x v="0"/>
    <n v="122931"/>
  </r>
  <r>
    <n v="2359"/>
    <s v="Emp_1359"/>
    <x v="1"/>
    <x v="1"/>
    <x v="3"/>
    <x v="2"/>
    <n v="46"/>
    <n v="59220"/>
    <n v="27725"/>
    <x v="0"/>
    <n v="86945"/>
  </r>
  <r>
    <n v="2360"/>
    <s v="Emp_1360"/>
    <x v="0"/>
    <x v="1"/>
    <x v="0"/>
    <x v="1"/>
    <n v="25"/>
    <n v="37158"/>
    <n v="22623"/>
    <x v="0"/>
    <n v="59781"/>
  </r>
  <r>
    <n v="2361"/>
    <s v="Emp_1361"/>
    <x v="1"/>
    <x v="1"/>
    <x v="1"/>
    <x v="3"/>
    <n v="31"/>
    <n v="100992"/>
    <n v="26984"/>
    <x v="0"/>
    <n v="127976"/>
  </r>
  <r>
    <n v="2362"/>
    <s v="Emp_1362"/>
    <x v="3"/>
    <x v="1"/>
    <x v="1"/>
    <x v="2"/>
    <n v="31"/>
    <n v="47588"/>
    <n v="14524"/>
    <x v="0"/>
    <n v="62112"/>
  </r>
  <r>
    <n v="2363"/>
    <s v="Emp_1363"/>
    <x v="3"/>
    <x v="1"/>
    <x v="1"/>
    <x v="1"/>
    <n v="45"/>
    <n v="82576"/>
    <n v="20231"/>
    <x v="0"/>
    <n v="102807"/>
  </r>
  <r>
    <n v="2364"/>
    <s v="Emp_1364"/>
    <x v="2"/>
    <x v="1"/>
    <x v="4"/>
    <x v="2"/>
    <n v="42"/>
    <n v="108027"/>
    <n v="16698"/>
    <x v="0"/>
    <n v="124725"/>
  </r>
  <r>
    <n v="2365"/>
    <s v="Emp_1365"/>
    <x v="0"/>
    <x v="0"/>
    <x v="1"/>
    <x v="3"/>
    <n v="32"/>
    <n v="44188"/>
    <n v="15571"/>
    <x v="0"/>
    <n v="59759"/>
  </r>
  <r>
    <n v="2366"/>
    <s v="Emp_1366"/>
    <x v="0"/>
    <x v="1"/>
    <x v="3"/>
    <x v="2"/>
    <n v="48"/>
    <n v="112615"/>
    <n v="26175"/>
    <x v="0"/>
    <n v="138790"/>
  </r>
  <r>
    <n v="2367"/>
    <s v="Emp_1367"/>
    <x v="1"/>
    <x v="0"/>
    <x v="2"/>
    <x v="2"/>
    <n v="37"/>
    <n v="78830"/>
    <n v="17314"/>
    <x v="1"/>
    <n v="96144"/>
  </r>
  <r>
    <n v="2368"/>
    <s v="Emp_1368"/>
    <x v="1"/>
    <x v="0"/>
    <x v="0"/>
    <x v="2"/>
    <n v="47"/>
    <n v="24019"/>
    <n v="16429"/>
    <x v="1"/>
    <n v="40448"/>
  </r>
  <r>
    <n v="2369"/>
    <s v="Emp_1369"/>
    <x v="4"/>
    <x v="1"/>
    <x v="4"/>
    <x v="1"/>
    <n v="51"/>
    <n v="69554.53"/>
    <n v="7365"/>
    <x v="0"/>
    <n v="76919.53"/>
  </r>
  <r>
    <n v="2370"/>
    <s v="Emp_1370"/>
    <x v="4"/>
    <x v="1"/>
    <x v="1"/>
    <x v="3"/>
    <n v="37"/>
    <n v="53697"/>
    <n v="15604"/>
    <x v="1"/>
    <n v="69301"/>
  </r>
  <r>
    <n v="2371"/>
    <s v="Emp_1371"/>
    <x v="5"/>
    <x v="0"/>
    <x v="1"/>
    <x v="0"/>
    <n v="28"/>
    <n v="104932"/>
    <n v="16366"/>
    <x v="0"/>
    <n v="121298"/>
  </r>
  <r>
    <n v="2372"/>
    <s v="Emp_1372"/>
    <x v="3"/>
    <x v="0"/>
    <x v="2"/>
    <x v="1"/>
    <n v="37"/>
    <n v="115428"/>
    <n v="10055"/>
    <x v="0"/>
    <n v="125483"/>
  </r>
  <r>
    <n v="2373"/>
    <s v="Emp_1373"/>
    <x v="1"/>
    <x v="1"/>
    <x v="2"/>
    <x v="0"/>
    <n v="56"/>
    <n v="27973"/>
    <n v="10622"/>
    <x v="0"/>
    <n v="38595"/>
  </r>
  <r>
    <n v="2374"/>
    <s v="Emp_1374"/>
    <x v="0"/>
    <x v="1"/>
    <x v="4"/>
    <x v="0"/>
    <n v="37"/>
    <n v="106649"/>
    <n v="21756"/>
    <x v="1"/>
    <n v="128405"/>
  </r>
  <r>
    <n v="2375"/>
    <s v="Emp_1375"/>
    <x v="2"/>
    <x v="0"/>
    <x v="0"/>
    <x v="1"/>
    <n v="33"/>
    <n v="31136"/>
    <n v="12783"/>
    <x v="0"/>
    <n v="43919"/>
  </r>
  <r>
    <n v="2376"/>
    <s v="Emp_1376"/>
    <x v="0"/>
    <x v="1"/>
    <x v="1"/>
    <x v="1"/>
    <n v="56"/>
    <n v="104739"/>
    <n v="6949"/>
    <x v="0"/>
    <n v="111688"/>
  </r>
  <r>
    <n v="2377"/>
    <s v="Emp_1377"/>
    <x v="3"/>
    <x v="1"/>
    <x v="4"/>
    <x v="3"/>
    <n v="42"/>
    <n v="82502"/>
    <n v="21628"/>
    <x v="0"/>
    <n v="104130"/>
  </r>
  <r>
    <n v="2378"/>
    <s v="Emp_1378"/>
    <x v="4"/>
    <x v="1"/>
    <x v="3"/>
    <x v="3"/>
    <n v="57"/>
    <n v="51285"/>
    <n v="15032"/>
    <x v="0"/>
    <n v="66317"/>
  </r>
  <r>
    <n v="2379"/>
    <s v="Emp_1379"/>
    <x v="0"/>
    <x v="0"/>
    <x v="3"/>
    <x v="2"/>
    <n v="38"/>
    <n v="43039"/>
    <n v="29179"/>
    <x v="0"/>
    <n v="72218"/>
  </r>
  <r>
    <n v="2380"/>
    <s v="Emp_1380"/>
    <x v="5"/>
    <x v="0"/>
    <x v="4"/>
    <x v="0"/>
    <n v="53"/>
    <n v="86720"/>
    <n v="27156"/>
    <x v="0"/>
    <n v="113876"/>
  </r>
  <r>
    <n v="2381"/>
    <s v="Emp_1381"/>
    <x v="3"/>
    <x v="0"/>
    <x v="1"/>
    <x v="3"/>
    <n v="27"/>
    <n v="108263"/>
    <n v="16619"/>
    <x v="0"/>
    <n v="124882"/>
  </r>
  <r>
    <n v="2382"/>
    <s v="Emp_1382"/>
    <x v="6"/>
    <x v="1"/>
    <x v="4"/>
    <x v="2"/>
    <n v="45"/>
    <n v="79155"/>
    <n v="21508"/>
    <x v="0"/>
    <n v="100663"/>
  </r>
  <r>
    <n v="2383"/>
    <s v="Emp_1383"/>
    <x v="2"/>
    <x v="1"/>
    <x v="1"/>
    <x v="3"/>
    <n v="48"/>
    <n v="69554.53"/>
    <n v="17824"/>
    <x v="0"/>
    <n v="87378.53"/>
  </r>
  <r>
    <n v="2384"/>
    <s v="Emp_1384"/>
    <x v="4"/>
    <x v="0"/>
    <x v="2"/>
    <x v="1"/>
    <n v="41"/>
    <n v="20916"/>
    <n v="15945"/>
    <x v="0"/>
    <n v="36861"/>
  </r>
  <r>
    <n v="2385"/>
    <s v="Emp_1385"/>
    <x v="5"/>
    <x v="0"/>
    <x v="4"/>
    <x v="3"/>
    <n v="46"/>
    <n v="79052"/>
    <n v="6919"/>
    <x v="0"/>
    <n v="85971"/>
  </r>
  <r>
    <n v="2386"/>
    <s v="Emp_1386"/>
    <x v="6"/>
    <x v="0"/>
    <x v="1"/>
    <x v="0"/>
    <n v="23"/>
    <n v="89110"/>
    <n v="14827"/>
    <x v="1"/>
    <n v="103937"/>
  </r>
  <r>
    <n v="2387"/>
    <s v="Emp_1387"/>
    <x v="2"/>
    <x v="1"/>
    <x v="4"/>
    <x v="3"/>
    <n v="30"/>
    <n v="37790"/>
    <n v="14617"/>
    <x v="0"/>
    <n v="52407"/>
  </r>
  <r>
    <n v="2388"/>
    <s v="Emp_1388"/>
    <x v="5"/>
    <x v="0"/>
    <x v="4"/>
    <x v="0"/>
    <n v="49"/>
    <n v="103161"/>
    <n v="14732"/>
    <x v="0"/>
    <n v="117893"/>
  </r>
  <r>
    <n v="2389"/>
    <s v="Emp_1389"/>
    <x v="4"/>
    <x v="0"/>
    <x v="1"/>
    <x v="1"/>
    <n v="59"/>
    <n v="25206"/>
    <n v="5530"/>
    <x v="0"/>
    <n v="30736"/>
  </r>
  <r>
    <n v="2390"/>
    <s v="Emp_1390"/>
    <x v="5"/>
    <x v="1"/>
    <x v="1"/>
    <x v="0"/>
    <n v="24"/>
    <n v="105053"/>
    <n v="12849"/>
    <x v="0"/>
    <n v="117902"/>
  </r>
  <r>
    <n v="2391"/>
    <s v="Emp_1391"/>
    <x v="3"/>
    <x v="1"/>
    <x v="0"/>
    <x v="3"/>
    <n v="41"/>
    <n v="69950"/>
    <n v="11929"/>
    <x v="0"/>
    <n v="81879"/>
  </r>
  <r>
    <n v="2392"/>
    <s v="Emp_1392"/>
    <x v="1"/>
    <x v="1"/>
    <x v="4"/>
    <x v="2"/>
    <n v="27"/>
    <n v="76361"/>
    <n v="9349"/>
    <x v="0"/>
    <n v="85710"/>
  </r>
  <r>
    <n v="2393"/>
    <s v="Emp_1393"/>
    <x v="5"/>
    <x v="0"/>
    <x v="3"/>
    <x v="1"/>
    <n v="54"/>
    <n v="81451"/>
    <n v="19456"/>
    <x v="0"/>
    <n v="100907"/>
  </r>
  <r>
    <n v="2394"/>
    <s v="Emp_1394"/>
    <x v="5"/>
    <x v="1"/>
    <x v="4"/>
    <x v="3"/>
    <n v="22"/>
    <n v="57696"/>
    <n v="16295"/>
    <x v="2"/>
    <n v="73991"/>
  </r>
  <r>
    <n v="2395"/>
    <s v="Emp_1395"/>
    <x v="4"/>
    <x v="1"/>
    <x v="4"/>
    <x v="1"/>
    <n v="58"/>
    <n v="101641"/>
    <n v="26140"/>
    <x v="0"/>
    <n v="127781"/>
  </r>
  <r>
    <n v="2396"/>
    <s v="Emp_1396"/>
    <x v="4"/>
    <x v="0"/>
    <x v="1"/>
    <x v="1"/>
    <n v="27"/>
    <n v="88226"/>
    <n v="23185"/>
    <x v="0"/>
    <n v="111411"/>
  </r>
  <r>
    <n v="2397"/>
    <s v="Emp_1397"/>
    <x v="2"/>
    <x v="1"/>
    <x v="4"/>
    <x v="3"/>
    <n v="55"/>
    <n v="66728"/>
    <n v="10156"/>
    <x v="0"/>
    <n v="76884"/>
  </r>
  <r>
    <n v="2398"/>
    <s v="Emp_1398"/>
    <x v="4"/>
    <x v="0"/>
    <x v="4"/>
    <x v="3"/>
    <n v="36"/>
    <n v="75401"/>
    <n v="29240"/>
    <x v="0"/>
    <n v="104641"/>
  </r>
  <r>
    <n v="2399"/>
    <s v="Emp_1399"/>
    <x v="0"/>
    <x v="0"/>
    <x v="3"/>
    <x v="2"/>
    <n v="47"/>
    <n v="86226"/>
    <n v="26845"/>
    <x v="0"/>
    <n v="113071"/>
  </r>
  <r>
    <n v="2400"/>
    <s v="Emp_1400"/>
    <x v="3"/>
    <x v="1"/>
    <x v="1"/>
    <x v="1"/>
    <n v="35"/>
    <n v="45103"/>
    <n v="14228"/>
    <x v="0"/>
    <n v="59331"/>
  </r>
  <r>
    <n v="2401"/>
    <s v="Emp_1401"/>
    <x v="3"/>
    <x v="1"/>
    <x v="4"/>
    <x v="1"/>
    <n v="28"/>
    <n v="54263"/>
    <n v="26686"/>
    <x v="0"/>
    <n v="80949"/>
  </r>
  <r>
    <n v="2402"/>
    <s v="Emp_1402"/>
    <x v="1"/>
    <x v="1"/>
    <x v="2"/>
    <x v="3"/>
    <n v="52"/>
    <n v="96621"/>
    <n v="16920"/>
    <x v="1"/>
    <n v="113541"/>
  </r>
  <r>
    <n v="2403"/>
    <s v="Emp_1403"/>
    <x v="1"/>
    <x v="1"/>
    <x v="0"/>
    <x v="0"/>
    <n v="45"/>
    <n v="70044"/>
    <n v="12432"/>
    <x v="0"/>
    <n v="82476"/>
  </r>
  <r>
    <n v="2404"/>
    <s v="Emp_1404"/>
    <x v="3"/>
    <x v="1"/>
    <x v="3"/>
    <x v="3"/>
    <n v="52"/>
    <n v="77730"/>
    <n v="17203"/>
    <x v="0"/>
    <n v="94933"/>
  </r>
  <r>
    <n v="2405"/>
    <s v="Emp_1405"/>
    <x v="1"/>
    <x v="1"/>
    <x v="4"/>
    <x v="1"/>
    <n v="50"/>
    <n v="45825"/>
    <n v="11189"/>
    <x v="0"/>
    <n v="57014"/>
  </r>
  <r>
    <n v="2406"/>
    <s v="Emp_1406"/>
    <x v="2"/>
    <x v="0"/>
    <x v="2"/>
    <x v="3"/>
    <n v="53"/>
    <n v="96256"/>
    <n v="6142"/>
    <x v="0"/>
    <n v="102398"/>
  </r>
  <r>
    <n v="2407"/>
    <s v="Emp_1407"/>
    <x v="4"/>
    <x v="0"/>
    <x v="4"/>
    <x v="2"/>
    <n v="38"/>
    <n v="57271"/>
    <n v="28460"/>
    <x v="0"/>
    <n v="85731"/>
  </r>
  <r>
    <n v="2408"/>
    <s v="Emp_1408"/>
    <x v="3"/>
    <x v="1"/>
    <x v="4"/>
    <x v="0"/>
    <n v="35"/>
    <n v="97256"/>
    <n v="12614"/>
    <x v="0"/>
    <n v="109870"/>
  </r>
  <r>
    <n v="2409"/>
    <s v="Emp_1409"/>
    <x v="1"/>
    <x v="0"/>
    <x v="1"/>
    <x v="3"/>
    <n v="57"/>
    <n v="66732"/>
    <n v="19253"/>
    <x v="0"/>
    <n v="85985"/>
  </r>
  <r>
    <n v="2410"/>
    <s v="Emp_1410"/>
    <x v="3"/>
    <x v="1"/>
    <x v="1"/>
    <x v="2"/>
    <n v="45"/>
    <n v="86433"/>
    <n v="26224"/>
    <x v="0"/>
    <n v="112657"/>
  </r>
  <r>
    <n v="2411"/>
    <s v="Emp_1411"/>
    <x v="0"/>
    <x v="0"/>
    <x v="1"/>
    <x v="1"/>
    <n v="48"/>
    <n v="102630"/>
    <n v="23013"/>
    <x v="0"/>
    <n v="125643"/>
  </r>
  <r>
    <n v="2412"/>
    <s v="Emp_1412"/>
    <x v="5"/>
    <x v="0"/>
    <x v="2"/>
    <x v="3"/>
    <n v="46"/>
    <n v="43572"/>
    <n v="26446"/>
    <x v="0"/>
    <n v="70018"/>
  </r>
  <r>
    <n v="2413"/>
    <s v="Emp_1413"/>
    <x v="4"/>
    <x v="0"/>
    <x v="4"/>
    <x v="1"/>
    <n v="53"/>
    <n v="58546"/>
    <n v="22146"/>
    <x v="0"/>
    <n v="80692"/>
  </r>
  <r>
    <n v="2414"/>
    <s v="Emp_1414"/>
    <x v="3"/>
    <x v="1"/>
    <x v="0"/>
    <x v="2"/>
    <n v="39"/>
    <n v="35150"/>
    <n v="11905"/>
    <x v="1"/>
    <n v="47055"/>
  </r>
  <r>
    <n v="2415"/>
    <s v="Emp_1415"/>
    <x v="5"/>
    <x v="0"/>
    <x v="3"/>
    <x v="1"/>
    <n v="39"/>
    <n v="74165"/>
    <n v="9889"/>
    <x v="0"/>
    <n v="84054"/>
  </r>
  <r>
    <n v="2416"/>
    <s v="Emp_1416"/>
    <x v="1"/>
    <x v="1"/>
    <x v="1"/>
    <x v="2"/>
    <n v="58"/>
    <n v="83690"/>
    <n v="9839"/>
    <x v="0"/>
    <n v="93529"/>
  </r>
  <r>
    <n v="2417"/>
    <s v="Emp_1417"/>
    <x v="5"/>
    <x v="0"/>
    <x v="1"/>
    <x v="2"/>
    <n v="47"/>
    <n v="73664"/>
    <n v="8957"/>
    <x v="0"/>
    <n v="82621"/>
  </r>
  <r>
    <n v="2418"/>
    <s v="Emp_1418"/>
    <x v="4"/>
    <x v="0"/>
    <x v="4"/>
    <x v="2"/>
    <n v="30"/>
    <n v="102335"/>
    <n v="5557"/>
    <x v="0"/>
    <n v="107892"/>
  </r>
  <r>
    <n v="2419"/>
    <s v="Emp_1419"/>
    <x v="3"/>
    <x v="0"/>
    <x v="4"/>
    <x v="3"/>
    <n v="56"/>
    <n v="95199"/>
    <n v="9621"/>
    <x v="1"/>
    <n v="104820"/>
  </r>
  <r>
    <n v="2420"/>
    <s v="Emp_1420"/>
    <x v="0"/>
    <x v="0"/>
    <x v="2"/>
    <x v="1"/>
    <n v="29"/>
    <n v="56948"/>
    <n v="19932"/>
    <x v="0"/>
    <n v="76880"/>
  </r>
  <r>
    <n v="2421"/>
    <s v="Emp_1421"/>
    <x v="6"/>
    <x v="0"/>
    <x v="2"/>
    <x v="1"/>
    <n v="41"/>
    <n v="57030"/>
    <n v="5839"/>
    <x v="0"/>
    <n v="62869"/>
  </r>
  <r>
    <n v="2422"/>
    <s v="Emp_1422"/>
    <x v="3"/>
    <x v="1"/>
    <x v="1"/>
    <x v="0"/>
    <n v="43"/>
    <n v="47007"/>
    <n v="29578"/>
    <x v="0"/>
    <n v="76585"/>
  </r>
  <r>
    <n v="2423"/>
    <s v="Emp_1423"/>
    <x v="4"/>
    <x v="1"/>
    <x v="4"/>
    <x v="0"/>
    <n v="40"/>
    <n v="111207"/>
    <n v="14243"/>
    <x v="0"/>
    <n v="125450"/>
  </r>
  <r>
    <n v="2424"/>
    <s v="Emp_1424"/>
    <x v="1"/>
    <x v="0"/>
    <x v="0"/>
    <x v="0"/>
    <n v="51"/>
    <n v="69554.53"/>
    <n v="14596"/>
    <x v="0"/>
    <n v="84150.53"/>
  </r>
  <r>
    <n v="2425"/>
    <s v="Emp_1425"/>
    <x v="2"/>
    <x v="0"/>
    <x v="3"/>
    <x v="0"/>
    <n v="49"/>
    <n v="96772"/>
    <n v="29732"/>
    <x v="0"/>
    <n v="126504"/>
  </r>
  <r>
    <n v="2426"/>
    <s v="Emp_1426"/>
    <x v="5"/>
    <x v="0"/>
    <x v="4"/>
    <x v="1"/>
    <n v="56"/>
    <n v="42024"/>
    <n v="11998"/>
    <x v="0"/>
    <n v="54022"/>
  </r>
  <r>
    <n v="2427"/>
    <s v="Emp_1427"/>
    <x v="4"/>
    <x v="0"/>
    <x v="4"/>
    <x v="2"/>
    <n v="32"/>
    <n v="59384"/>
    <n v="15129"/>
    <x v="1"/>
    <n v="74513"/>
  </r>
  <r>
    <n v="2428"/>
    <s v="Emp_1428"/>
    <x v="2"/>
    <x v="1"/>
    <x v="2"/>
    <x v="2"/>
    <n v="52"/>
    <n v="102912"/>
    <n v="5510"/>
    <x v="0"/>
    <n v="108422"/>
  </r>
  <r>
    <n v="2429"/>
    <s v="Emp_1429"/>
    <x v="3"/>
    <x v="0"/>
    <x v="3"/>
    <x v="3"/>
    <n v="57"/>
    <n v="38157"/>
    <n v="16596"/>
    <x v="1"/>
    <n v="54753"/>
  </r>
  <r>
    <n v="2430"/>
    <s v="Emp_1430"/>
    <x v="0"/>
    <x v="1"/>
    <x v="1"/>
    <x v="2"/>
    <n v="51"/>
    <n v="105481"/>
    <n v="17974"/>
    <x v="0"/>
    <n v="123455"/>
  </r>
  <r>
    <n v="2431"/>
    <s v="Emp_1431"/>
    <x v="1"/>
    <x v="0"/>
    <x v="4"/>
    <x v="1"/>
    <n v="44"/>
    <n v="108553"/>
    <n v="6137"/>
    <x v="1"/>
    <n v="114690"/>
  </r>
  <r>
    <n v="2432"/>
    <s v="Emp_1432"/>
    <x v="5"/>
    <x v="1"/>
    <x v="1"/>
    <x v="1"/>
    <n v="40"/>
    <n v="21756"/>
    <n v="18700"/>
    <x v="0"/>
    <n v="40456"/>
  </r>
  <r>
    <n v="2433"/>
    <s v="Emp_1433"/>
    <x v="1"/>
    <x v="0"/>
    <x v="4"/>
    <x v="1"/>
    <n v="33"/>
    <n v="88112"/>
    <n v="26990"/>
    <x v="0"/>
    <n v="115102"/>
  </r>
  <r>
    <n v="2434"/>
    <s v="Emp_1434"/>
    <x v="3"/>
    <x v="0"/>
    <x v="1"/>
    <x v="3"/>
    <n v="36"/>
    <n v="111003"/>
    <n v="9666"/>
    <x v="0"/>
    <n v="120669"/>
  </r>
  <r>
    <n v="2435"/>
    <s v="Emp_1435"/>
    <x v="1"/>
    <x v="1"/>
    <x v="3"/>
    <x v="0"/>
    <n v="52"/>
    <n v="116741"/>
    <n v="13906"/>
    <x v="0"/>
    <n v="130647"/>
  </r>
  <r>
    <n v="2436"/>
    <s v="Emp_1436"/>
    <x v="5"/>
    <x v="2"/>
    <x v="2"/>
    <x v="2"/>
    <n v="58"/>
    <n v="78051"/>
    <n v="26818"/>
    <x v="0"/>
    <n v="104869"/>
  </r>
  <r>
    <n v="2437"/>
    <s v="Emp_1437"/>
    <x v="3"/>
    <x v="0"/>
    <x v="3"/>
    <x v="1"/>
    <n v="58"/>
    <n v="84595"/>
    <n v="15478"/>
    <x v="1"/>
    <n v="100073"/>
  </r>
  <r>
    <n v="2438"/>
    <s v="Emp_1438"/>
    <x v="1"/>
    <x v="0"/>
    <x v="0"/>
    <x v="1"/>
    <n v="36"/>
    <n v="98210"/>
    <n v="27830"/>
    <x v="1"/>
    <n v="126040"/>
  </r>
  <r>
    <n v="2439"/>
    <s v="Emp_1439"/>
    <x v="0"/>
    <x v="1"/>
    <x v="2"/>
    <x v="0"/>
    <n v="50"/>
    <n v="63094"/>
    <n v="7654"/>
    <x v="0"/>
    <n v="70748"/>
  </r>
  <r>
    <n v="2440"/>
    <s v="Emp_1440"/>
    <x v="4"/>
    <x v="0"/>
    <x v="3"/>
    <x v="1"/>
    <n v="47"/>
    <n v="107889"/>
    <n v="5990"/>
    <x v="0"/>
    <n v="113879"/>
  </r>
  <r>
    <n v="2441"/>
    <s v="Emp_1441"/>
    <x v="3"/>
    <x v="0"/>
    <x v="0"/>
    <x v="2"/>
    <n v="23"/>
    <n v="115385"/>
    <n v="29204"/>
    <x v="0"/>
    <n v="144589"/>
  </r>
  <r>
    <n v="2442"/>
    <s v="Emp_1442"/>
    <x v="4"/>
    <x v="1"/>
    <x v="4"/>
    <x v="3"/>
    <n v="41"/>
    <n v="24535"/>
    <n v="7160"/>
    <x v="1"/>
    <n v="31695"/>
  </r>
  <r>
    <n v="2443"/>
    <s v="Emp_1443"/>
    <x v="3"/>
    <x v="1"/>
    <x v="4"/>
    <x v="1"/>
    <n v="36"/>
    <n v="76035"/>
    <n v="27124"/>
    <x v="1"/>
    <n v="103159"/>
  </r>
  <r>
    <n v="2444"/>
    <s v="Emp_1444"/>
    <x v="0"/>
    <x v="1"/>
    <x v="1"/>
    <x v="2"/>
    <n v="25"/>
    <n v="67367"/>
    <n v="25841"/>
    <x v="0"/>
    <n v="93208"/>
  </r>
  <r>
    <n v="2445"/>
    <s v="Emp_1445"/>
    <x v="4"/>
    <x v="0"/>
    <x v="2"/>
    <x v="1"/>
    <n v="43"/>
    <n v="37118"/>
    <n v="20136"/>
    <x v="1"/>
    <n v="57254"/>
  </r>
  <r>
    <n v="2446"/>
    <s v="Emp_1446"/>
    <x v="2"/>
    <x v="0"/>
    <x v="4"/>
    <x v="0"/>
    <n v="59"/>
    <n v="79812"/>
    <n v="15336"/>
    <x v="1"/>
    <n v="95148"/>
  </r>
  <r>
    <n v="2447"/>
    <s v="Emp_1447"/>
    <x v="5"/>
    <x v="0"/>
    <x v="2"/>
    <x v="1"/>
    <n v="44"/>
    <n v="79884"/>
    <n v="19269"/>
    <x v="1"/>
    <n v="99153"/>
  </r>
  <r>
    <n v="2448"/>
    <s v="Emp_1448"/>
    <x v="2"/>
    <x v="1"/>
    <x v="4"/>
    <x v="1"/>
    <n v="47"/>
    <n v="86168"/>
    <n v="21206"/>
    <x v="2"/>
    <n v="107374"/>
  </r>
  <r>
    <n v="2449"/>
    <s v="Emp_1449"/>
    <x v="1"/>
    <x v="0"/>
    <x v="1"/>
    <x v="3"/>
    <n v="32"/>
    <n v="33280"/>
    <n v="7063"/>
    <x v="0"/>
    <n v="40343"/>
  </r>
  <r>
    <n v="2450"/>
    <s v="Emp_1450"/>
    <x v="0"/>
    <x v="0"/>
    <x v="3"/>
    <x v="0"/>
    <n v="49"/>
    <n v="34746"/>
    <n v="15795"/>
    <x v="1"/>
    <n v="50541"/>
  </r>
  <r>
    <n v="2451"/>
    <s v="Emp_1451"/>
    <x v="2"/>
    <x v="1"/>
    <x v="1"/>
    <x v="0"/>
    <n v="23"/>
    <n v="73251"/>
    <n v="23361"/>
    <x v="0"/>
    <n v="96612"/>
  </r>
  <r>
    <n v="2452"/>
    <s v="Emp_1452"/>
    <x v="3"/>
    <x v="1"/>
    <x v="0"/>
    <x v="3"/>
    <n v="29"/>
    <n v="104821"/>
    <n v="13567"/>
    <x v="0"/>
    <n v="118388"/>
  </r>
  <r>
    <n v="2453"/>
    <s v="Emp_1453"/>
    <x v="1"/>
    <x v="1"/>
    <x v="4"/>
    <x v="1"/>
    <n v="50"/>
    <n v="103583"/>
    <n v="13933"/>
    <x v="0"/>
    <n v="117516"/>
  </r>
  <r>
    <n v="2454"/>
    <s v="Emp_1454"/>
    <x v="1"/>
    <x v="1"/>
    <x v="0"/>
    <x v="2"/>
    <n v="32"/>
    <n v="30207"/>
    <n v="24051"/>
    <x v="0"/>
    <n v="54258"/>
  </r>
  <r>
    <n v="2455"/>
    <s v="Emp_1455"/>
    <x v="2"/>
    <x v="1"/>
    <x v="0"/>
    <x v="0"/>
    <n v="58"/>
    <n v="91127"/>
    <n v="20619"/>
    <x v="1"/>
    <n v="111746"/>
  </r>
  <r>
    <n v="2456"/>
    <s v="Emp_1456"/>
    <x v="2"/>
    <x v="2"/>
    <x v="2"/>
    <x v="0"/>
    <n v="39"/>
    <n v="47757"/>
    <n v="9919"/>
    <x v="0"/>
    <n v="57676"/>
  </r>
  <r>
    <n v="2457"/>
    <s v="Emp_1457"/>
    <x v="0"/>
    <x v="1"/>
    <x v="4"/>
    <x v="1"/>
    <n v="35"/>
    <n v="36226"/>
    <n v="16741"/>
    <x v="0"/>
    <n v="52967"/>
  </r>
  <r>
    <n v="2458"/>
    <s v="Emp_1458"/>
    <x v="5"/>
    <x v="0"/>
    <x v="0"/>
    <x v="1"/>
    <n v="31"/>
    <n v="69554.53"/>
    <n v="29993"/>
    <x v="0"/>
    <n v="99547.53"/>
  </r>
  <r>
    <n v="2459"/>
    <s v="Emp_1459"/>
    <x v="2"/>
    <x v="0"/>
    <x v="3"/>
    <x v="0"/>
    <n v="56"/>
    <n v="81407"/>
    <n v="29026"/>
    <x v="1"/>
    <n v="110433"/>
  </r>
  <r>
    <n v="2460"/>
    <s v="Emp_1460"/>
    <x v="2"/>
    <x v="1"/>
    <x v="0"/>
    <x v="1"/>
    <n v="30"/>
    <n v="47206"/>
    <n v="13798"/>
    <x v="0"/>
    <n v="61004"/>
  </r>
  <r>
    <n v="2461"/>
    <s v="Emp_1461"/>
    <x v="4"/>
    <x v="1"/>
    <x v="3"/>
    <x v="2"/>
    <n v="56"/>
    <n v="40256"/>
    <n v="21927"/>
    <x v="0"/>
    <n v="62183"/>
  </r>
  <r>
    <n v="2462"/>
    <s v="Emp_1462"/>
    <x v="3"/>
    <x v="1"/>
    <x v="2"/>
    <x v="0"/>
    <n v="32"/>
    <n v="53822"/>
    <n v="19566"/>
    <x v="0"/>
    <n v="73388"/>
  </r>
  <r>
    <n v="2463"/>
    <s v="Emp_1463"/>
    <x v="4"/>
    <x v="0"/>
    <x v="0"/>
    <x v="2"/>
    <n v="33"/>
    <n v="61340"/>
    <n v="5883"/>
    <x v="0"/>
    <n v="67223"/>
  </r>
  <r>
    <n v="2464"/>
    <s v="Emp_1464"/>
    <x v="4"/>
    <x v="1"/>
    <x v="1"/>
    <x v="2"/>
    <n v="24"/>
    <n v="72234"/>
    <n v="26182"/>
    <x v="0"/>
    <n v="98416"/>
  </r>
  <r>
    <n v="2465"/>
    <s v="Emp_1465"/>
    <x v="1"/>
    <x v="1"/>
    <x v="2"/>
    <x v="1"/>
    <n v="35"/>
    <n v="69554.53"/>
    <n v="29424"/>
    <x v="0"/>
    <n v="98978.53"/>
  </r>
  <r>
    <n v="2466"/>
    <s v="Emp_1466"/>
    <x v="5"/>
    <x v="1"/>
    <x v="3"/>
    <x v="2"/>
    <n v="49"/>
    <n v="68671"/>
    <n v="14415"/>
    <x v="0"/>
    <n v="83086"/>
  </r>
  <r>
    <n v="2467"/>
    <s v="Emp_1467"/>
    <x v="3"/>
    <x v="1"/>
    <x v="2"/>
    <x v="1"/>
    <n v="32"/>
    <n v="95320"/>
    <n v="16085"/>
    <x v="0"/>
    <n v="111405"/>
  </r>
  <r>
    <n v="2468"/>
    <s v="Emp_1468"/>
    <x v="0"/>
    <x v="1"/>
    <x v="0"/>
    <x v="3"/>
    <n v="46"/>
    <n v="55157"/>
    <n v="20008"/>
    <x v="1"/>
    <n v="75165"/>
  </r>
  <r>
    <n v="2469"/>
    <s v="Emp_1469"/>
    <x v="0"/>
    <x v="0"/>
    <x v="4"/>
    <x v="1"/>
    <n v="42"/>
    <n v="39937"/>
    <n v="27102"/>
    <x v="0"/>
    <n v="67039"/>
  </r>
  <r>
    <n v="2470"/>
    <s v="Emp_1470"/>
    <x v="2"/>
    <x v="0"/>
    <x v="4"/>
    <x v="2"/>
    <n v="31"/>
    <n v="74290"/>
    <n v="23452"/>
    <x v="0"/>
    <n v="97742"/>
  </r>
  <r>
    <n v="2471"/>
    <s v="Emp_1471"/>
    <x v="2"/>
    <x v="0"/>
    <x v="3"/>
    <x v="3"/>
    <n v="36"/>
    <n v="69554.53"/>
    <n v="28862"/>
    <x v="0"/>
    <n v="98416.53"/>
  </r>
  <r>
    <n v="2472"/>
    <s v="Emp_1472"/>
    <x v="0"/>
    <x v="1"/>
    <x v="3"/>
    <x v="1"/>
    <n v="40"/>
    <n v="31219"/>
    <n v="13120"/>
    <x v="1"/>
    <n v="44339"/>
  </r>
  <r>
    <n v="2473"/>
    <s v="Emp_1473"/>
    <x v="2"/>
    <x v="1"/>
    <x v="4"/>
    <x v="2"/>
    <n v="43"/>
    <n v="29399"/>
    <n v="12820"/>
    <x v="0"/>
    <n v="42219"/>
  </r>
  <r>
    <n v="2474"/>
    <s v="Emp_1474"/>
    <x v="5"/>
    <x v="1"/>
    <x v="3"/>
    <x v="0"/>
    <n v="42"/>
    <n v="118848"/>
    <n v="16901"/>
    <x v="0"/>
    <n v="135749"/>
  </r>
  <r>
    <n v="2475"/>
    <s v="Emp_1475"/>
    <x v="4"/>
    <x v="0"/>
    <x v="2"/>
    <x v="0"/>
    <n v="53"/>
    <n v="47657"/>
    <n v="23170"/>
    <x v="0"/>
    <n v="70827"/>
  </r>
  <r>
    <n v="2476"/>
    <s v="Emp_1476"/>
    <x v="2"/>
    <x v="1"/>
    <x v="1"/>
    <x v="1"/>
    <n v="44"/>
    <n v="40047"/>
    <n v="21259"/>
    <x v="0"/>
    <n v="61306"/>
  </r>
  <r>
    <n v="2477"/>
    <s v="Emp_1477"/>
    <x v="1"/>
    <x v="1"/>
    <x v="1"/>
    <x v="1"/>
    <n v="34"/>
    <n v="96095"/>
    <n v="27099"/>
    <x v="1"/>
    <n v="123194"/>
  </r>
  <r>
    <n v="2478"/>
    <s v="Emp_1478"/>
    <x v="2"/>
    <x v="1"/>
    <x v="2"/>
    <x v="0"/>
    <n v="26"/>
    <n v="105693"/>
    <n v="14649"/>
    <x v="0"/>
    <n v="120342"/>
  </r>
  <r>
    <n v="2479"/>
    <s v="Emp_1479"/>
    <x v="3"/>
    <x v="0"/>
    <x v="1"/>
    <x v="2"/>
    <n v="25"/>
    <n v="92154"/>
    <n v="13269"/>
    <x v="1"/>
    <n v="105423"/>
  </r>
  <r>
    <n v="2480"/>
    <s v="Emp_1480"/>
    <x v="5"/>
    <x v="1"/>
    <x v="0"/>
    <x v="2"/>
    <n v="49"/>
    <n v="64891"/>
    <n v="16805"/>
    <x v="0"/>
    <n v="81696"/>
  </r>
  <r>
    <n v="2481"/>
    <s v="Emp_1481"/>
    <x v="3"/>
    <x v="0"/>
    <x v="2"/>
    <x v="2"/>
    <n v="35"/>
    <n v="26780"/>
    <n v="22692"/>
    <x v="0"/>
    <n v="49472"/>
  </r>
  <r>
    <n v="2482"/>
    <s v="Emp_1482"/>
    <x v="3"/>
    <x v="1"/>
    <x v="3"/>
    <x v="1"/>
    <n v="29"/>
    <n v="47050"/>
    <n v="15379"/>
    <x v="0"/>
    <n v="62429"/>
  </r>
  <r>
    <n v="2483"/>
    <s v="Emp_1483"/>
    <x v="1"/>
    <x v="0"/>
    <x v="2"/>
    <x v="3"/>
    <n v="30"/>
    <n v="93551"/>
    <n v="13744"/>
    <x v="0"/>
    <n v="107295"/>
  </r>
  <r>
    <n v="2484"/>
    <s v="Emp_1484"/>
    <x v="5"/>
    <x v="0"/>
    <x v="4"/>
    <x v="3"/>
    <n v="56"/>
    <n v="88666"/>
    <n v="18285"/>
    <x v="1"/>
    <n v="106951"/>
  </r>
  <r>
    <n v="2485"/>
    <s v="Emp_1485"/>
    <x v="5"/>
    <x v="0"/>
    <x v="3"/>
    <x v="3"/>
    <n v="58"/>
    <n v="113619"/>
    <n v="13473"/>
    <x v="0"/>
    <n v="127092"/>
  </r>
  <r>
    <n v="2486"/>
    <s v="Emp_1486"/>
    <x v="5"/>
    <x v="1"/>
    <x v="4"/>
    <x v="3"/>
    <n v="42"/>
    <n v="102016"/>
    <n v="15679"/>
    <x v="0"/>
    <n v="117695"/>
  </r>
  <r>
    <n v="2487"/>
    <s v="Emp_1487"/>
    <x v="5"/>
    <x v="1"/>
    <x v="3"/>
    <x v="3"/>
    <n v="39"/>
    <n v="73010"/>
    <n v="19605"/>
    <x v="0"/>
    <n v="92615"/>
  </r>
  <r>
    <n v="2488"/>
    <s v="Emp_1488"/>
    <x v="5"/>
    <x v="0"/>
    <x v="1"/>
    <x v="1"/>
    <n v="54"/>
    <n v="58165"/>
    <n v="15985"/>
    <x v="1"/>
    <n v="74150"/>
  </r>
  <r>
    <n v="2489"/>
    <s v="Emp_1489"/>
    <x v="1"/>
    <x v="0"/>
    <x v="2"/>
    <x v="1"/>
    <n v="29"/>
    <n v="31528"/>
    <n v="17391"/>
    <x v="0"/>
    <n v="48919"/>
  </r>
  <r>
    <n v="2490"/>
    <s v="Emp_1490"/>
    <x v="2"/>
    <x v="1"/>
    <x v="0"/>
    <x v="3"/>
    <n v="38"/>
    <n v="69608"/>
    <n v="9861"/>
    <x v="1"/>
    <n v="79469"/>
  </r>
  <r>
    <n v="2491"/>
    <s v="Emp_1491"/>
    <x v="3"/>
    <x v="1"/>
    <x v="3"/>
    <x v="1"/>
    <n v="52"/>
    <n v="25914"/>
    <n v="24160"/>
    <x v="0"/>
    <n v="50074"/>
  </r>
  <r>
    <n v="2492"/>
    <s v="Emp_1492"/>
    <x v="5"/>
    <x v="0"/>
    <x v="3"/>
    <x v="1"/>
    <n v="55"/>
    <n v="57136"/>
    <n v="6596"/>
    <x v="1"/>
    <n v="63732"/>
  </r>
  <r>
    <n v="2493"/>
    <s v="Emp_1493"/>
    <x v="2"/>
    <x v="1"/>
    <x v="4"/>
    <x v="3"/>
    <n v="27"/>
    <n v="31179"/>
    <n v="21863"/>
    <x v="2"/>
    <n v="53042"/>
  </r>
  <r>
    <n v="2494"/>
    <s v="Emp_1494"/>
    <x v="2"/>
    <x v="1"/>
    <x v="1"/>
    <x v="2"/>
    <n v="43"/>
    <n v="106008"/>
    <n v="24696"/>
    <x v="1"/>
    <n v="130704"/>
  </r>
  <r>
    <n v="2495"/>
    <s v="Emp_1495"/>
    <x v="3"/>
    <x v="1"/>
    <x v="4"/>
    <x v="1"/>
    <n v="35"/>
    <n v="32076"/>
    <n v="27540"/>
    <x v="0"/>
    <n v="59616"/>
  </r>
  <r>
    <n v="2496"/>
    <s v="Emp_1496"/>
    <x v="1"/>
    <x v="1"/>
    <x v="4"/>
    <x v="2"/>
    <n v="24"/>
    <n v="44783"/>
    <n v="15155"/>
    <x v="0"/>
    <n v="59938"/>
  </r>
  <r>
    <n v="2497"/>
    <s v="Emp_1497"/>
    <x v="0"/>
    <x v="0"/>
    <x v="1"/>
    <x v="1"/>
    <n v="33"/>
    <n v="66716"/>
    <n v="12919"/>
    <x v="0"/>
    <n v="79635"/>
  </r>
  <r>
    <n v="2498"/>
    <s v="Emp_1498"/>
    <x v="0"/>
    <x v="1"/>
    <x v="0"/>
    <x v="1"/>
    <n v="57"/>
    <n v="70298"/>
    <n v="28128"/>
    <x v="0"/>
    <n v="98426"/>
  </r>
  <r>
    <n v="2499"/>
    <s v="Emp_1499"/>
    <x v="2"/>
    <x v="1"/>
    <x v="4"/>
    <x v="3"/>
    <n v="33"/>
    <n v="69554.53"/>
    <n v="15334"/>
    <x v="0"/>
    <n v="84888.53"/>
  </r>
  <r>
    <n v="2500"/>
    <s v="Emp_1500"/>
    <x v="4"/>
    <x v="0"/>
    <x v="4"/>
    <x v="1"/>
    <n v="23"/>
    <n v="99360"/>
    <n v="25282"/>
    <x v="0"/>
    <n v="124642"/>
  </r>
  <r>
    <n v="2501"/>
    <s v="Emp_1501"/>
    <x v="4"/>
    <x v="0"/>
    <x v="3"/>
    <x v="0"/>
    <n v="23"/>
    <n v="89835"/>
    <n v="19628"/>
    <x v="0"/>
    <n v="109463"/>
  </r>
  <r>
    <n v="2502"/>
    <s v="Emp_1502"/>
    <x v="3"/>
    <x v="1"/>
    <x v="1"/>
    <x v="0"/>
    <n v="36"/>
    <n v="28118"/>
    <n v="7072"/>
    <x v="1"/>
    <n v="35190"/>
  </r>
  <r>
    <n v="2503"/>
    <s v="Emp_1503"/>
    <x v="0"/>
    <x v="1"/>
    <x v="2"/>
    <x v="3"/>
    <n v="44"/>
    <n v="69554.53"/>
    <n v="14487"/>
    <x v="0"/>
    <n v="84041.53"/>
  </r>
  <r>
    <n v="2504"/>
    <s v="Emp_1504"/>
    <x v="2"/>
    <x v="1"/>
    <x v="0"/>
    <x v="2"/>
    <n v="50"/>
    <n v="76911"/>
    <n v="10624"/>
    <x v="0"/>
    <n v="87535"/>
  </r>
  <r>
    <n v="2505"/>
    <s v="Emp_1505"/>
    <x v="1"/>
    <x v="1"/>
    <x v="0"/>
    <x v="2"/>
    <n v="38"/>
    <n v="93489"/>
    <n v="5938"/>
    <x v="1"/>
    <n v="99427"/>
  </r>
  <r>
    <n v="2506"/>
    <s v="Emp_1506"/>
    <x v="0"/>
    <x v="0"/>
    <x v="1"/>
    <x v="2"/>
    <n v="53"/>
    <n v="35185"/>
    <n v="13176"/>
    <x v="1"/>
    <n v="48361"/>
  </r>
  <r>
    <n v="2507"/>
    <s v="Emp_1507"/>
    <x v="2"/>
    <x v="0"/>
    <x v="3"/>
    <x v="0"/>
    <n v="28"/>
    <n v="61792"/>
    <n v="5761"/>
    <x v="0"/>
    <n v="67553"/>
  </r>
  <r>
    <n v="2508"/>
    <s v="Emp_1508"/>
    <x v="2"/>
    <x v="0"/>
    <x v="3"/>
    <x v="2"/>
    <n v="51"/>
    <n v="100210"/>
    <n v="28638"/>
    <x v="0"/>
    <n v="128848"/>
  </r>
  <r>
    <n v="2509"/>
    <s v="Emp_1509"/>
    <x v="5"/>
    <x v="1"/>
    <x v="1"/>
    <x v="2"/>
    <n v="49"/>
    <n v="70613"/>
    <n v="17941"/>
    <x v="0"/>
    <n v="88554"/>
  </r>
  <r>
    <n v="2510"/>
    <s v="Emp_1510"/>
    <x v="1"/>
    <x v="1"/>
    <x v="3"/>
    <x v="3"/>
    <n v="35"/>
    <n v="53927"/>
    <n v="6669"/>
    <x v="0"/>
    <n v="60596"/>
  </r>
  <r>
    <n v="2511"/>
    <s v="Emp_1511"/>
    <x v="5"/>
    <x v="1"/>
    <x v="0"/>
    <x v="2"/>
    <n v="51"/>
    <n v="20386"/>
    <n v="12128"/>
    <x v="0"/>
    <n v="32514"/>
  </r>
  <r>
    <n v="2512"/>
    <s v="Emp_1512"/>
    <x v="3"/>
    <x v="1"/>
    <x v="0"/>
    <x v="0"/>
    <n v="38"/>
    <n v="112153"/>
    <n v="25246"/>
    <x v="0"/>
    <n v="137399"/>
  </r>
  <r>
    <n v="2513"/>
    <s v="Emp_1513"/>
    <x v="5"/>
    <x v="0"/>
    <x v="2"/>
    <x v="0"/>
    <n v="53"/>
    <n v="92728"/>
    <n v="24069"/>
    <x v="1"/>
    <n v="116797"/>
  </r>
  <r>
    <n v="2514"/>
    <s v="Emp_1514"/>
    <x v="5"/>
    <x v="0"/>
    <x v="1"/>
    <x v="0"/>
    <n v="27"/>
    <n v="96281"/>
    <n v="17091"/>
    <x v="0"/>
    <n v="113372"/>
  </r>
  <r>
    <n v="2515"/>
    <s v="Emp_1515"/>
    <x v="0"/>
    <x v="1"/>
    <x v="4"/>
    <x v="3"/>
    <n v="45"/>
    <n v="50020"/>
    <n v="28018"/>
    <x v="0"/>
    <n v="78038"/>
  </r>
  <r>
    <n v="2516"/>
    <s v="Emp_1516"/>
    <x v="4"/>
    <x v="0"/>
    <x v="4"/>
    <x v="3"/>
    <n v="27"/>
    <n v="62678"/>
    <n v="23315"/>
    <x v="0"/>
    <n v="85993"/>
  </r>
  <r>
    <n v="2517"/>
    <s v="Emp_1517"/>
    <x v="2"/>
    <x v="1"/>
    <x v="2"/>
    <x v="1"/>
    <n v="48"/>
    <n v="106695"/>
    <n v="12308"/>
    <x v="0"/>
    <n v="119003"/>
  </r>
  <r>
    <n v="2518"/>
    <s v="Emp_1518"/>
    <x v="1"/>
    <x v="1"/>
    <x v="2"/>
    <x v="2"/>
    <n v="39"/>
    <n v="81394"/>
    <n v="25323"/>
    <x v="0"/>
    <n v="106717"/>
  </r>
  <r>
    <n v="2519"/>
    <s v="Emp_1519"/>
    <x v="5"/>
    <x v="0"/>
    <x v="3"/>
    <x v="3"/>
    <n v="45"/>
    <n v="88945"/>
    <n v="6126"/>
    <x v="1"/>
    <n v="95071"/>
  </r>
  <r>
    <n v="2520"/>
    <s v="Emp_1520"/>
    <x v="1"/>
    <x v="1"/>
    <x v="2"/>
    <x v="0"/>
    <n v="58"/>
    <n v="76414"/>
    <n v="11021"/>
    <x v="0"/>
    <n v="87435"/>
  </r>
  <r>
    <n v="2521"/>
    <s v="Emp_1521"/>
    <x v="4"/>
    <x v="1"/>
    <x v="2"/>
    <x v="0"/>
    <n v="45"/>
    <n v="74816"/>
    <n v="11437"/>
    <x v="0"/>
    <n v="86253"/>
  </r>
  <r>
    <n v="2522"/>
    <s v="Emp_1522"/>
    <x v="4"/>
    <x v="0"/>
    <x v="4"/>
    <x v="3"/>
    <n v="59"/>
    <n v="75918"/>
    <n v="12039"/>
    <x v="0"/>
    <n v="87957"/>
  </r>
  <r>
    <n v="2523"/>
    <s v="Emp_1523"/>
    <x v="5"/>
    <x v="1"/>
    <x v="3"/>
    <x v="3"/>
    <n v="55"/>
    <n v="111281"/>
    <n v="26757"/>
    <x v="0"/>
    <n v="138038"/>
  </r>
  <r>
    <n v="2524"/>
    <s v="Emp_1524"/>
    <x v="3"/>
    <x v="1"/>
    <x v="2"/>
    <x v="3"/>
    <n v="36"/>
    <n v="82694"/>
    <n v="22587"/>
    <x v="1"/>
    <n v="105281"/>
  </r>
  <r>
    <n v="2525"/>
    <s v="Emp_1525"/>
    <x v="5"/>
    <x v="0"/>
    <x v="2"/>
    <x v="1"/>
    <n v="32"/>
    <n v="49455"/>
    <n v="9135"/>
    <x v="0"/>
    <n v="58590"/>
  </r>
  <r>
    <n v="2526"/>
    <s v="Emp_1526"/>
    <x v="0"/>
    <x v="2"/>
    <x v="3"/>
    <x v="0"/>
    <n v="43"/>
    <n v="58735"/>
    <n v="20111"/>
    <x v="0"/>
    <n v="78846"/>
  </r>
  <r>
    <n v="2527"/>
    <s v="Emp_1527"/>
    <x v="2"/>
    <x v="0"/>
    <x v="1"/>
    <x v="1"/>
    <n v="45"/>
    <n v="114702"/>
    <n v="16964"/>
    <x v="0"/>
    <n v="131666"/>
  </r>
  <r>
    <n v="2528"/>
    <s v="Emp_1528"/>
    <x v="3"/>
    <x v="1"/>
    <x v="3"/>
    <x v="1"/>
    <n v="22"/>
    <n v="69554.53"/>
    <n v="13711"/>
    <x v="0"/>
    <n v="83265.53"/>
  </r>
  <r>
    <n v="2529"/>
    <s v="Emp_1529"/>
    <x v="5"/>
    <x v="0"/>
    <x v="4"/>
    <x v="2"/>
    <n v="39"/>
    <n v="32109"/>
    <n v="12904"/>
    <x v="0"/>
    <n v="45013"/>
  </r>
  <r>
    <n v="2530"/>
    <s v="Emp_1530"/>
    <x v="1"/>
    <x v="0"/>
    <x v="1"/>
    <x v="0"/>
    <n v="33"/>
    <n v="65802"/>
    <n v="7283"/>
    <x v="0"/>
    <n v="73085"/>
  </r>
  <r>
    <n v="2531"/>
    <s v="Emp_1531"/>
    <x v="3"/>
    <x v="0"/>
    <x v="0"/>
    <x v="0"/>
    <n v="49"/>
    <n v="88020"/>
    <n v="25942"/>
    <x v="0"/>
    <n v="113962"/>
  </r>
  <r>
    <n v="2532"/>
    <s v="Emp_1532"/>
    <x v="3"/>
    <x v="1"/>
    <x v="3"/>
    <x v="3"/>
    <n v="28"/>
    <n v="54622"/>
    <n v="26731"/>
    <x v="0"/>
    <n v="81353"/>
  </r>
  <r>
    <n v="2533"/>
    <s v="Emp_1533"/>
    <x v="5"/>
    <x v="0"/>
    <x v="4"/>
    <x v="3"/>
    <n v="44"/>
    <n v="22597"/>
    <n v="29251"/>
    <x v="0"/>
    <n v="51848"/>
  </r>
  <r>
    <n v="2534"/>
    <s v="Emp_1534"/>
    <x v="3"/>
    <x v="0"/>
    <x v="1"/>
    <x v="2"/>
    <n v="42"/>
    <n v="60597"/>
    <n v="27328"/>
    <x v="0"/>
    <n v="87925"/>
  </r>
  <r>
    <n v="2535"/>
    <s v="Emp_1535"/>
    <x v="1"/>
    <x v="0"/>
    <x v="3"/>
    <x v="1"/>
    <n v="55"/>
    <n v="60954"/>
    <n v="7477"/>
    <x v="0"/>
    <n v="68431"/>
  </r>
  <r>
    <n v="2536"/>
    <s v="Emp_1536"/>
    <x v="4"/>
    <x v="0"/>
    <x v="2"/>
    <x v="3"/>
    <n v="32"/>
    <n v="89519"/>
    <n v="8093"/>
    <x v="0"/>
    <n v="97612"/>
  </r>
  <r>
    <n v="2537"/>
    <s v="Emp_1537"/>
    <x v="3"/>
    <x v="0"/>
    <x v="3"/>
    <x v="3"/>
    <n v="43"/>
    <n v="76115"/>
    <n v="29918"/>
    <x v="0"/>
    <n v="106033"/>
  </r>
  <r>
    <n v="2538"/>
    <s v="Emp_1538"/>
    <x v="4"/>
    <x v="1"/>
    <x v="0"/>
    <x v="0"/>
    <n v="56"/>
    <n v="63151"/>
    <n v="12207"/>
    <x v="0"/>
    <n v="75358"/>
  </r>
  <r>
    <n v="2539"/>
    <s v="Emp_1539"/>
    <x v="1"/>
    <x v="1"/>
    <x v="3"/>
    <x v="0"/>
    <n v="50"/>
    <n v="37040"/>
    <n v="14394"/>
    <x v="0"/>
    <n v="51434"/>
  </r>
  <r>
    <n v="2540"/>
    <s v="Emp_1540"/>
    <x v="5"/>
    <x v="1"/>
    <x v="1"/>
    <x v="3"/>
    <n v="49"/>
    <n v="64772"/>
    <n v="19841"/>
    <x v="0"/>
    <n v="84613"/>
  </r>
  <r>
    <n v="2541"/>
    <s v="Emp_1541"/>
    <x v="2"/>
    <x v="1"/>
    <x v="1"/>
    <x v="0"/>
    <n v="39"/>
    <n v="116090"/>
    <n v="11227"/>
    <x v="1"/>
    <n v="127317"/>
  </r>
  <r>
    <n v="2542"/>
    <s v="Emp_1542"/>
    <x v="3"/>
    <x v="1"/>
    <x v="3"/>
    <x v="2"/>
    <n v="35"/>
    <n v="83832"/>
    <n v="18280"/>
    <x v="0"/>
    <n v="102112"/>
  </r>
  <r>
    <n v="2543"/>
    <s v="Emp_1543"/>
    <x v="2"/>
    <x v="1"/>
    <x v="1"/>
    <x v="3"/>
    <n v="39"/>
    <n v="47916"/>
    <n v="8535"/>
    <x v="0"/>
    <n v="56451"/>
  </r>
  <r>
    <n v="2544"/>
    <s v="Emp_1544"/>
    <x v="1"/>
    <x v="1"/>
    <x v="2"/>
    <x v="0"/>
    <n v="49"/>
    <n v="64871"/>
    <n v="28388"/>
    <x v="2"/>
    <n v="93259"/>
  </r>
  <r>
    <n v="2545"/>
    <s v="Emp_1545"/>
    <x v="3"/>
    <x v="0"/>
    <x v="3"/>
    <x v="2"/>
    <n v="45"/>
    <n v="46372"/>
    <n v="15582"/>
    <x v="0"/>
    <n v="61954"/>
  </r>
  <r>
    <n v="2546"/>
    <s v="Emp_1546"/>
    <x v="4"/>
    <x v="1"/>
    <x v="2"/>
    <x v="0"/>
    <n v="29"/>
    <n v="81707"/>
    <n v="7913"/>
    <x v="0"/>
    <n v="89620"/>
  </r>
  <r>
    <n v="2547"/>
    <s v="Emp_1547"/>
    <x v="0"/>
    <x v="0"/>
    <x v="2"/>
    <x v="0"/>
    <n v="29"/>
    <n v="59080"/>
    <n v="7340"/>
    <x v="0"/>
    <n v="66420"/>
  </r>
  <r>
    <n v="2548"/>
    <s v="Emp_1548"/>
    <x v="2"/>
    <x v="0"/>
    <x v="4"/>
    <x v="0"/>
    <n v="25"/>
    <n v="62722"/>
    <n v="10289"/>
    <x v="0"/>
    <n v="73011"/>
  </r>
  <r>
    <n v="2549"/>
    <s v="Emp_1549"/>
    <x v="3"/>
    <x v="2"/>
    <x v="3"/>
    <x v="3"/>
    <n v="48"/>
    <n v="49048"/>
    <n v="5597"/>
    <x v="0"/>
    <n v="54645"/>
  </r>
  <r>
    <n v="2550"/>
    <s v="Emp_1550"/>
    <x v="2"/>
    <x v="0"/>
    <x v="1"/>
    <x v="1"/>
    <n v="57"/>
    <n v="105205"/>
    <n v="20025"/>
    <x v="0"/>
    <n v="125230"/>
  </r>
  <r>
    <n v="2551"/>
    <s v="Emp_1551"/>
    <x v="3"/>
    <x v="0"/>
    <x v="2"/>
    <x v="0"/>
    <n v="26"/>
    <n v="29777"/>
    <n v="12145"/>
    <x v="0"/>
    <n v="41922"/>
  </r>
  <r>
    <n v="2552"/>
    <s v="Emp_1552"/>
    <x v="5"/>
    <x v="0"/>
    <x v="4"/>
    <x v="2"/>
    <n v="54"/>
    <n v="74711"/>
    <n v="7902"/>
    <x v="1"/>
    <n v="82613"/>
  </r>
  <r>
    <n v="2553"/>
    <s v="Emp_1553"/>
    <x v="4"/>
    <x v="0"/>
    <x v="3"/>
    <x v="3"/>
    <n v="55"/>
    <n v="56331"/>
    <n v="28029"/>
    <x v="1"/>
    <n v="84360"/>
  </r>
  <r>
    <n v="2554"/>
    <s v="Emp_1554"/>
    <x v="2"/>
    <x v="1"/>
    <x v="3"/>
    <x v="3"/>
    <n v="51"/>
    <n v="40968"/>
    <n v="13955"/>
    <x v="0"/>
    <n v="54923"/>
  </r>
  <r>
    <n v="2555"/>
    <s v="Emp_1555"/>
    <x v="0"/>
    <x v="2"/>
    <x v="0"/>
    <x v="2"/>
    <n v="29"/>
    <n v="73969"/>
    <n v="12694"/>
    <x v="0"/>
    <n v="86663"/>
  </r>
  <r>
    <n v="2556"/>
    <s v="Emp_1556"/>
    <x v="0"/>
    <x v="1"/>
    <x v="0"/>
    <x v="0"/>
    <n v="47"/>
    <n v="31292"/>
    <n v="9830"/>
    <x v="0"/>
    <n v="41122"/>
  </r>
  <r>
    <n v="2557"/>
    <s v="Emp_1557"/>
    <x v="1"/>
    <x v="1"/>
    <x v="2"/>
    <x v="1"/>
    <n v="58"/>
    <n v="60794"/>
    <n v="28930"/>
    <x v="0"/>
    <n v="89724"/>
  </r>
  <r>
    <n v="2558"/>
    <s v="Emp_1558"/>
    <x v="3"/>
    <x v="1"/>
    <x v="0"/>
    <x v="0"/>
    <n v="55"/>
    <n v="99459"/>
    <n v="28752"/>
    <x v="0"/>
    <n v="128211"/>
  </r>
  <r>
    <n v="2559"/>
    <s v="Emp_1559"/>
    <x v="2"/>
    <x v="1"/>
    <x v="2"/>
    <x v="2"/>
    <n v="28"/>
    <n v="70192"/>
    <n v="14834"/>
    <x v="0"/>
    <n v="85026"/>
  </r>
  <r>
    <n v="2560"/>
    <s v="Emp_1560"/>
    <x v="1"/>
    <x v="1"/>
    <x v="1"/>
    <x v="3"/>
    <n v="49"/>
    <n v="69554.53"/>
    <n v="15489"/>
    <x v="0"/>
    <n v="85043.53"/>
  </r>
  <r>
    <n v="2561"/>
    <s v="Emp_1561"/>
    <x v="2"/>
    <x v="1"/>
    <x v="2"/>
    <x v="1"/>
    <n v="49"/>
    <n v="104193"/>
    <n v="20768"/>
    <x v="0"/>
    <n v="124961"/>
  </r>
  <r>
    <n v="2562"/>
    <s v="Emp_1562"/>
    <x v="3"/>
    <x v="1"/>
    <x v="0"/>
    <x v="3"/>
    <n v="35"/>
    <n v="89165"/>
    <n v="15364"/>
    <x v="0"/>
    <n v="104529"/>
  </r>
  <r>
    <n v="2563"/>
    <s v="Emp_1563"/>
    <x v="0"/>
    <x v="1"/>
    <x v="1"/>
    <x v="2"/>
    <n v="59"/>
    <n v="87650"/>
    <n v="7160"/>
    <x v="1"/>
    <n v="94810"/>
  </r>
  <r>
    <n v="2564"/>
    <s v="Emp_1564"/>
    <x v="5"/>
    <x v="0"/>
    <x v="0"/>
    <x v="0"/>
    <n v="25"/>
    <n v="76516"/>
    <n v="18268"/>
    <x v="0"/>
    <n v="94784"/>
  </r>
  <r>
    <n v="2565"/>
    <s v="Emp_1565"/>
    <x v="0"/>
    <x v="1"/>
    <x v="2"/>
    <x v="1"/>
    <n v="39"/>
    <n v="119981"/>
    <n v="27262"/>
    <x v="0"/>
    <n v="147243"/>
  </r>
  <r>
    <n v="2566"/>
    <s v="Emp_1566"/>
    <x v="1"/>
    <x v="0"/>
    <x v="4"/>
    <x v="3"/>
    <n v="46"/>
    <n v="111110"/>
    <n v="29047"/>
    <x v="0"/>
    <n v="140157"/>
  </r>
  <r>
    <n v="2567"/>
    <s v="Emp_1567"/>
    <x v="4"/>
    <x v="0"/>
    <x v="3"/>
    <x v="3"/>
    <n v="28"/>
    <n v="117885"/>
    <n v="25133"/>
    <x v="1"/>
    <n v="143018"/>
  </r>
  <r>
    <n v="2568"/>
    <s v="Emp_1568"/>
    <x v="5"/>
    <x v="0"/>
    <x v="0"/>
    <x v="3"/>
    <n v="59"/>
    <n v="42257"/>
    <n v="19485"/>
    <x v="0"/>
    <n v="61742"/>
  </r>
  <r>
    <n v="2569"/>
    <s v="Emp_1569"/>
    <x v="1"/>
    <x v="0"/>
    <x v="2"/>
    <x v="0"/>
    <n v="49"/>
    <n v="103509"/>
    <n v="7922"/>
    <x v="1"/>
    <n v="111431"/>
  </r>
  <r>
    <n v="2570"/>
    <s v="Emp_1570"/>
    <x v="3"/>
    <x v="1"/>
    <x v="1"/>
    <x v="1"/>
    <n v="26"/>
    <n v="111273"/>
    <n v="27870"/>
    <x v="0"/>
    <n v="139143"/>
  </r>
  <r>
    <n v="2571"/>
    <s v="Emp_1571"/>
    <x v="5"/>
    <x v="0"/>
    <x v="0"/>
    <x v="0"/>
    <n v="24"/>
    <n v="71672"/>
    <n v="29496"/>
    <x v="0"/>
    <n v="101168"/>
  </r>
  <r>
    <n v="2572"/>
    <s v="Emp_1572"/>
    <x v="1"/>
    <x v="1"/>
    <x v="0"/>
    <x v="0"/>
    <n v="52"/>
    <n v="83308"/>
    <n v="8804"/>
    <x v="0"/>
    <n v="92112"/>
  </r>
  <r>
    <n v="2573"/>
    <s v="Emp_1573"/>
    <x v="3"/>
    <x v="1"/>
    <x v="3"/>
    <x v="0"/>
    <n v="41"/>
    <n v="97583"/>
    <n v="26262"/>
    <x v="0"/>
    <n v="123845"/>
  </r>
  <r>
    <n v="2574"/>
    <s v="Emp_1574"/>
    <x v="0"/>
    <x v="0"/>
    <x v="2"/>
    <x v="2"/>
    <n v="40"/>
    <n v="42113"/>
    <n v="7368"/>
    <x v="1"/>
    <n v="49481"/>
  </r>
  <r>
    <n v="2575"/>
    <s v="Emp_1575"/>
    <x v="4"/>
    <x v="1"/>
    <x v="4"/>
    <x v="2"/>
    <n v="32"/>
    <n v="20694"/>
    <n v="20157"/>
    <x v="1"/>
    <n v="40851"/>
  </r>
  <r>
    <n v="2576"/>
    <s v="Emp_1576"/>
    <x v="3"/>
    <x v="0"/>
    <x v="1"/>
    <x v="2"/>
    <n v="24"/>
    <n v="35588"/>
    <n v="13093"/>
    <x v="0"/>
    <n v="48681"/>
  </r>
  <r>
    <n v="2577"/>
    <s v="Emp_1577"/>
    <x v="2"/>
    <x v="0"/>
    <x v="2"/>
    <x v="1"/>
    <n v="44"/>
    <n v="81756"/>
    <n v="8932"/>
    <x v="1"/>
    <n v="90688"/>
  </r>
  <r>
    <n v="2578"/>
    <s v="Emp_1578"/>
    <x v="3"/>
    <x v="1"/>
    <x v="1"/>
    <x v="0"/>
    <n v="28"/>
    <n v="84085"/>
    <n v="16552"/>
    <x v="1"/>
    <n v="100637"/>
  </r>
  <r>
    <n v="2579"/>
    <s v="Emp_1579"/>
    <x v="3"/>
    <x v="1"/>
    <x v="0"/>
    <x v="0"/>
    <n v="44"/>
    <n v="81142"/>
    <n v="10608"/>
    <x v="0"/>
    <n v="91750"/>
  </r>
  <r>
    <n v="2580"/>
    <s v="Emp_1580"/>
    <x v="4"/>
    <x v="0"/>
    <x v="3"/>
    <x v="2"/>
    <n v="28"/>
    <n v="84373"/>
    <n v="28019"/>
    <x v="0"/>
    <n v="112392"/>
  </r>
  <r>
    <n v="2581"/>
    <s v="Emp_1581"/>
    <x v="2"/>
    <x v="1"/>
    <x v="3"/>
    <x v="0"/>
    <n v="55"/>
    <n v="105603"/>
    <n v="17899"/>
    <x v="0"/>
    <n v="123502"/>
  </r>
  <r>
    <n v="2582"/>
    <s v="Emp_1582"/>
    <x v="1"/>
    <x v="1"/>
    <x v="4"/>
    <x v="0"/>
    <n v="40"/>
    <n v="26704"/>
    <n v="27779"/>
    <x v="1"/>
    <n v="54483"/>
  </r>
  <r>
    <n v="2583"/>
    <s v="Emp_1583"/>
    <x v="1"/>
    <x v="1"/>
    <x v="3"/>
    <x v="3"/>
    <n v="30"/>
    <n v="60136"/>
    <n v="27485"/>
    <x v="0"/>
    <n v="87621"/>
  </r>
  <r>
    <n v="2584"/>
    <s v="Emp_1584"/>
    <x v="3"/>
    <x v="0"/>
    <x v="0"/>
    <x v="0"/>
    <n v="39"/>
    <n v="87507"/>
    <n v="14292"/>
    <x v="0"/>
    <n v="101799"/>
  </r>
  <r>
    <n v="2585"/>
    <s v="Emp_1585"/>
    <x v="2"/>
    <x v="0"/>
    <x v="4"/>
    <x v="3"/>
    <n v="46"/>
    <n v="67361"/>
    <n v="14862"/>
    <x v="0"/>
    <n v="82223"/>
  </r>
  <r>
    <n v="2586"/>
    <s v="Emp_1586"/>
    <x v="2"/>
    <x v="1"/>
    <x v="2"/>
    <x v="0"/>
    <n v="35"/>
    <n v="78847"/>
    <n v="10531"/>
    <x v="1"/>
    <n v="89378"/>
  </r>
  <r>
    <n v="2587"/>
    <s v="Emp_1587"/>
    <x v="4"/>
    <x v="1"/>
    <x v="3"/>
    <x v="1"/>
    <n v="46"/>
    <n v="31441"/>
    <n v="15412"/>
    <x v="0"/>
    <n v="46853"/>
  </r>
  <r>
    <n v="2588"/>
    <s v="Emp_1588"/>
    <x v="0"/>
    <x v="1"/>
    <x v="4"/>
    <x v="2"/>
    <n v="40"/>
    <n v="117012"/>
    <n v="26354"/>
    <x v="0"/>
    <n v="143366"/>
  </r>
  <r>
    <n v="2589"/>
    <s v="Emp_1589"/>
    <x v="1"/>
    <x v="1"/>
    <x v="0"/>
    <x v="3"/>
    <n v="36"/>
    <n v="34677"/>
    <n v="11344"/>
    <x v="2"/>
    <n v="46021"/>
  </r>
  <r>
    <n v="2590"/>
    <s v="Emp_1590"/>
    <x v="4"/>
    <x v="1"/>
    <x v="1"/>
    <x v="2"/>
    <n v="37"/>
    <n v="47818"/>
    <n v="29792"/>
    <x v="0"/>
    <n v="77610"/>
  </r>
  <r>
    <n v="2591"/>
    <s v="Emp_1591"/>
    <x v="5"/>
    <x v="0"/>
    <x v="1"/>
    <x v="3"/>
    <n v="48"/>
    <n v="21868"/>
    <n v="21759"/>
    <x v="1"/>
    <n v="43627"/>
  </r>
  <r>
    <n v="2592"/>
    <s v="Emp_1592"/>
    <x v="1"/>
    <x v="1"/>
    <x v="0"/>
    <x v="3"/>
    <n v="31"/>
    <n v="103591"/>
    <n v="12887"/>
    <x v="1"/>
    <n v="116478"/>
  </r>
  <r>
    <n v="2593"/>
    <s v="Emp_1593"/>
    <x v="4"/>
    <x v="0"/>
    <x v="0"/>
    <x v="3"/>
    <n v="25"/>
    <n v="87264"/>
    <n v="22993"/>
    <x v="0"/>
    <n v="110257"/>
  </r>
  <r>
    <n v="2594"/>
    <s v="Emp_1594"/>
    <x v="1"/>
    <x v="1"/>
    <x v="1"/>
    <x v="1"/>
    <n v="40"/>
    <n v="93168"/>
    <n v="21158"/>
    <x v="0"/>
    <n v="114326"/>
  </r>
  <r>
    <n v="2595"/>
    <s v="Emp_1595"/>
    <x v="0"/>
    <x v="0"/>
    <x v="4"/>
    <x v="0"/>
    <n v="49"/>
    <n v="32043"/>
    <n v="24323"/>
    <x v="0"/>
    <n v="56366"/>
  </r>
  <r>
    <n v="2596"/>
    <s v="Emp_1596"/>
    <x v="5"/>
    <x v="1"/>
    <x v="1"/>
    <x v="3"/>
    <n v="42"/>
    <n v="91939"/>
    <n v="25446"/>
    <x v="0"/>
    <n v="117385"/>
  </r>
  <r>
    <n v="2597"/>
    <s v="Emp_1597"/>
    <x v="0"/>
    <x v="0"/>
    <x v="0"/>
    <x v="1"/>
    <n v="35"/>
    <n v="35732"/>
    <n v="22997"/>
    <x v="0"/>
    <n v="58729"/>
  </r>
  <r>
    <n v="2598"/>
    <s v="Emp_1598"/>
    <x v="5"/>
    <x v="1"/>
    <x v="3"/>
    <x v="3"/>
    <n v="54"/>
    <n v="75244"/>
    <n v="27962"/>
    <x v="0"/>
    <n v="103206"/>
  </r>
  <r>
    <n v="2599"/>
    <s v="Emp_1599"/>
    <x v="3"/>
    <x v="0"/>
    <x v="2"/>
    <x v="0"/>
    <n v="31"/>
    <n v="38526"/>
    <n v="29235"/>
    <x v="1"/>
    <n v="67761"/>
  </r>
  <r>
    <n v="2600"/>
    <s v="Emp_1600"/>
    <x v="4"/>
    <x v="0"/>
    <x v="3"/>
    <x v="3"/>
    <n v="40"/>
    <n v="29340"/>
    <n v="8679"/>
    <x v="0"/>
    <n v="38019"/>
  </r>
  <r>
    <n v="2601"/>
    <s v="Emp_1601"/>
    <x v="5"/>
    <x v="2"/>
    <x v="3"/>
    <x v="1"/>
    <n v="51"/>
    <n v="42394"/>
    <n v="12540"/>
    <x v="0"/>
    <n v="54934"/>
  </r>
  <r>
    <n v="2602"/>
    <s v="Emp_1602"/>
    <x v="0"/>
    <x v="0"/>
    <x v="0"/>
    <x v="0"/>
    <n v="43"/>
    <n v="118557"/>
    <n v="14488"/>
    <x v="1"/>
    <n v="133045"/>
  </r>
  <r>
    <n v="2603"/>
    <s v="Emp_1603"/>
    <x v="1"/>
    <x v="0"/>
    <x v="1"/>
    <x v="1"/>
    <n v="24"/>
    <n v="24102"/>
    <n v="12074"/>
    <x v="0"/>
    <n v="36176"/>
  </r>
  <r>
    <n v="2604"/>
    <s v="Emp_1604"/>
    <x v="5"/>
    <x v="0"/>
    <x v="4"/>
    <x v="0"/>
    <n v="58"/>
    <n v="39159"/>
    <n v="8996"/>
    <x v="0"/>
    <n v="48155"/>
  </r>
  <r>
    <n v="2605"/>
    <s v="Emp_1605"/>
    <x v="4"/>
    <x v="1"/>
    <x v="3"/>
    <x v="0"/>
    <n v="39"/>
    <n v="85092"/>
    <n v="26170"/>
    <x v="0"/>
    <n v="111262"/>
  </r>
  <r>
    <n v="2606"/>
    <s v="Emp_1606"/>
    <x v="5"/>
    <x v="0"/>
    <x v="1"/>
    <x v="2"/>
    <n v="32"/>
    <n v="26212"/>
    <n v="10695"/>
    <x v="0"/>
    <n v="36907"/>
  </r>
  <r>
    <n v="2607"/>
    <s v="Emp_1607"/>
    <x v="2"/>
    <x v="1"/>
    <x v="4"/>
    <x v="2"/>
    <n v="23"/>
    <n v="117360"/>
    <n v="28382"/>
    <x v="0"/>
    <n v="145742"/>
  </r>
  <r>
    <n v="2608"/>
    <s v="Emp_1608"/>
    <x v="1"/>
    <x v="1"/>
    <x v="3"/>
    <x v="2"/>
    <n v="33"/>
    <n v="57405"/>
    <n v="19235"/>
    <x v="1"/>
    <n v="76640"/>
  </r>
  <r>
    <n v="2609"/>
    <s v="Emp_1609"/>
    <x v="4"/>
    <x v="1"/>
    <x v="4"/>
    <x v="0"/>
    <n v="27"/>
    <n v="97061"/>
    <n v="7366"/>
    <x v="0"/>
    <n v="104427"/>
  </r>
  <r>
    <n v="2610"/>
    <s v="Emp_1610"/>
    <x v="4"/>
    <x v="1"/>
    <x v="1"/>
    <x v="3"/>
    <n v="50"/>
    <n v="114296"/>
    <n v="19164"/>
    <x v="0"/>
    <n v="133460"/>
  </r>
  <r>
    <n v="2611"/>
    <s v="Emp_1611"/>
    <x v="3"/>
    <x v="1"/>
    <x v="2"/>
    <x v="1"/>
    <n v="51"/>
    <n v="75186"/>
    <n v="11764"/>
    <x v="0"/>
    <n v="86950"/>
  </r>
  <r>
    <n v="2612"/>
    <s v="Emp_1612"/>
    <x v="6"/>
    <x v="0"/>
    <x v="1"/>
    <x v="1"/>
    <n v="23"/>
    <n v="64239"/>
    <n v="20527"/>
    <x v="1"/>
    <n v="84766"/>
  </r>
  <r>
    <n v="2613"/>
    <s v="Emp_1613"/>
    <x v="3"/>
    <x v="0"/>
    <x v="0"/>
    <x v="1"/>
    <n v="30"/>
    <n v="112993"/>
    <n v="21292"/>
    <x v="0"/>
    <n v="134285"/>
  </r>
  <r>
    <n v="2614"/>
    <s v="Emp_1614"/>
    <x v="4"/>
    <x v="0"/>
    <x v="4"/>
    <x v="2"/>
    <n v="23"/>
    <n v="30532"/>
    <n v="6614"/>
    <x v="0"/>
    <n v="37146"/>
  </r>
  <r>
    <n v="2615"/>
    <s v="Emp_1615"/>
    <x v="1"/>
    <x v="1"/>
    <x v="2"/>
    <x v="0"/>
    <n v="50"/>
    <n v="99054"/>
    <n v="25939"/>
    <x v="0"/>
    <n v="124993"/>
  </r>
  <r>
    <n v="2616"/>
    <s v="Emp_1616"/>
    <x v="5"/>
    <x v="0"/>
    <x v="4"/>
    <x v="2"/>
    <n v="54"/>
    <n v="92012"/>
    <n v="19396"/>
    <x v="0"/>
    <n v="111408"/>
  </r>
  <r>
    <n v="2617"/>
    <s v="Emp_1617"/>
    <x v="5"/>
    <x v="0"/>
    <x v="4"/>
    <x v="3"/>
    <n v="31"/>
    <n v="105279"/>
    <n v="23800"/>
    <x v="0"/>
    <n v="129079"/>
  </r>
  <r>
    <n v="2618"/>
    <s v="Emp_1618"/>
    <x v="1"/>
    <x v="0"/>
    <x v="3"/>
    <x v="0"/>
    <n v="55"/>
    <n v="86540"/>
    <n v="28672"/>
    <x v="0"/>
    <n v="115212"/>
  </r>
  <r>
    <n v="2619"/>
    <s v="Emp_1619"/>
    <x v="4"/>
    <x v="0"/>
    <x v="0"/>
    <x v="1"/>
    <n v="29"/>
    <n v="23271"/>
    <n v="28246"/>
    <x v="0"/>
    <n v="51517"/>
  </r>
  <r>
    <n v="2620"/>
    <s v="Emp_1620"/>
    <x v="5"/>
    <x v="0"/>
    <x v="4"/>
    <x v="2"/>
    <n v="58"/>
    <n v="65482"/>
    <n v="25037"/>
    <x v="0"/>
    <n v="90519"/>
  </r>
  <r>
    <n v="2621"/>
    <s v="Emp_1621"/>
    <x v="5"/>
    <x v="1"/>
    <x v="1"/>
    <x v="2"/>
    <n v="54"/>
    <n v="20209"/>
    <n v="28023"/>
    <x v="0"/>
    <n v="48232"/>
  </r>
  <r>
    <n v="2622"/>
    <s v="Emp_1622"/>
    <x v="5"/>
    <x v="0"/>
    <x v="1"/>
    <x v="3"/>
    <n v="27"/>
    <n v="110999"/>
    <n v="21880"/>
    <x v="0"/>
    <n v="132879"/>
  </r>
  <r>
    <n v="2623"/>
    <s v="Emp_1623"/>
    <x v="0"/>
    <x v="1"/>
    <x v="3"/>
    <x v="3"/>
    <n v="40"/>
    <n v="25539"/>
    <n v="21888"/>
    <x v="0"/>
    <n v="47427"/>
  </r>
  <r>
    <n v="2624"/>
    <s v="Emp_1624"/>
    <x v="0"/>
    <x v="1"/>
    <x v="0"/>
    <x v="2"/>
    <n v="53"/>
    <n v="39977"/>
    <n v="29083"/>
    <x v="0"/>
    <n v="69060"/>
  </r>
  <r>
    <n v="2625"/>
    <s v="Emp_1625"/>
    <x v="2"/>
    <x v="1"/>
    <x v="0"/>
    <x v="3"/>
    <n v="48"/>
    <n v="94142"/>
    <n v="10733"/>
    <x v="0"/>
    <n v="104875"/>
  </r>
  <r>
    <n v="2626"/>
    <s v="Emp_1626"/>
    <x v="3"/>
    <x v="1"/>
    <x v="1"/>
    <x v="1"/>
    <n v="22"/>
    <n v="119588"/>
    <n v="29439"/>
    <x v="1"/>
    <n v="149027"/>
  </r>
  <r>
    <n v="2627"/>
    <s v="Emp_1627"/>
    <x v="1"/>
    <x v="1"/>
    <x v="2"/>
    <x v="3"/>
    <n v="54"/>
    <n v="88684"/>
    <n v="8216"/>
    <x v="0"/>
    <n v="96900"/>
  </r>
  <r>
    <n v="2628"/>
    <s v="Emp_1628"/>
    <x v="1"/>
    <x v="0"/>
    <x v="3"/>
    <x v="3"/>
    <n v="53"/>
    <n v="119072"/>
    <n v="27072"/>
    <x v="0"/>
    <n v="146144"/>
  </r>
  <r>
    <n v="2629"/>
    <s v="Emp_1629"/>
    <x v="1"/>
    <x v="0"/>
    <x v="3"/>
    <x v="2"/>
    <n v="26"/>
    <n v="25607"/>
    <n v="9364"/>
    <x v="0"/>
    <n v="34971"/>
  </r>
  <r>
    <n v="2630"/>
    <s v="Emp_1630"/>
    <x v="2"/>
    <x v="0"/>
    <x v="1"/>
    <x v="2"/>
    <n v="38"/>
    <n v="105122"/>
    <n v="17269"/>
    <x v="0"/>
    <n v="122391"/>
  </r>
  <r>
    <n v="2631"/>
    <s v="Emp_1631"/>
    <x v="0"/>
    <x v="1"/>
    <x v="1"/>
    <x v="0"/>
    <n v="29"/>
    <n v="114786"/>
    <n v="27426"/>
    <x v="0"/>
    <n v="142212"/>
  </r>
  <r>
    <n v="2632"/>
    <s v="Emp_1632"/>
    <x v="4"/>
    <x v="0"/>
    <x v="2"/>
    <x v="0"/>
    <n v="55"/>
    <n v="71939"/>
    <n v="22861"/>
    <x v="0"/>
    <n v="94800"/>
  </r>
  <r>
    <n v="2633"/>
    <s v="Emp_1633"/>
    <x v="4"/>
    <x v="0"/>
    <x v="2"/>
    <x v="2"/>
    <n v="30"/>
    <n v="38594"/>
    <n v="18829"/>
    <x v="0"/>
    <n v="57423"/>
  </r>
  <r>
    <n v="2634"/>
    <s v="Emp_1634"/>
    <x v="2"/>
    <x v="1"/>
    <x v="0"/>
    <x v="3"/>
    <n v="44"/>
    <n v="78382"/>
    <n v="9960"/>
    <x v="0"/>
    <n v="88342"/>
  </r>
  <r>
    <n v="2635"/>
    <s v="Emp_1635"/>
    <x v="4"/>
    <x v="1"/>
    <x v="3"/>
    <x v="3"/>
    <n v="56"/>
    <n v="27399"/>
    <n v="23781"/>
    <x v="0"/>
    <n v="51180"/>
  </r>
  <r>
    <n v="2636"/>
    <s v="Emp_1636"/>
    <x v="1"/>
    <x v="1"/>
    <x v="3"/>
    <x v="0"/>
    <n v="28"/>
    <n v="45117"/>
    <n v="13301"/>
    <x v="0"/>
    <n v="58418"/>
  </r>
  <r>
    <n v="2637"/>
    <s v="Emp_1637"/>
    <x v="3"/>
    <x v="1"/>
    <x v="1"/>
    <x v="0"/>
    <n v="36"/>
    <n v="118662"/>
    <n v="13841"/>
    <x v="1"/>
    <n v="132503"/>
  </r>
  <r>
    <n v="2638"/>
    <s v="Emp_1638"/>
    <x v="5"/>
    <x v="0"/>
    <x v="0"/>
    <x v="0"/>
    <n v="41"/>
    <n v="53617"/>
    <n v="27578"/>
    <x v="0"/>
    <n v="81195"/>
  </r>
  <r>
    <n v="2639"/>
    <s v="Emp_1639"/>
    <x v="0"/>
    <x v="1"/>
    <x v="3"/>
    <x v="1"/>
    <n v="46"/>
    <n v="27498"/>
    <n v="28954"/>
    <x v="0"/>
    <n v="56452"/>
  </r>
  <r>
    <n v="2640"/>
    <s v="Emp_1640"/>
    <x v="0"/>
    <x v="1"/>
    <x v="0"/>
    <x v="1"/>
    <n v="24"/>
    <n v="70624"/>
    <n v="12730"/>
    <x v="0"/>
    <n v="83354"/>
  </r>
  <r>
    <n v="2641"/>
    <s v="Emp_1641"/>
    <x v="2"/>
    <x v="0"/>
    <x v="0"/>
    <x v="0"/>
    <n v="45"/>
    <n v="29628"/>
    <n v="22883"/>
    <x v="0"/>
    <n v="52511"/>
  </r>
  <r>
    <n v="2642"/>
    <s v="Emp_1642"/>
    <x v="0"/>
    <x v="0"/>
    <x v="1"/>
    <x v="3"/>
    <n v="55"/>
    <n v="20329"/>
    <n v="28619"/>
    <x v="0"/>
    <n v="48948"/>
  </r>
  <r>
    <n v="2643"/>
    <s v="Emp_1643"/>
    <x v="1"/>
    <x v="1"/>
    <x v="0"/>
    <x v="0"/>
    <n v="43"/>
    <n v="58619"/>
    <n v="21979"/>
    <x v="0"/>
    <n v="80598"/>
  </r>
  <r>
    <n v="2644"/>
    <s v="Emp_1644"/>
    <x v="4"/>
    <x v="0"/>
    <x v="2"/>
    <x v="1"/>
    <n v="32"/>
    <n v="27032"/>
    <n v="5978"/>
    <x v="1"/>
    <n v="33010"/>
  </r>
  <r>
    <n v="2645"/>
    <s v="Emp_1645"/>
    <x v="1"/>
    <x v="1"/>
    <x v="2"/>
    <x v="3"/>
    <n v="29"/>
    <n v="68094"/>
    <n v="5730"/>
    <x v="0"/>
    <n v="73824"/>
  </r>
  <r>
    <n v="2646"/>
    <s v="Emp_1646"/>
    <x v="2"/>
    <x v="1"/>
    <x v="4"/>
    <x v="1"/>
    <n v="56"/>
    <n v="58034"/>
    <n v="5056"/>
    <x v="0"/>
    <n v="63090"/>
  </r>
  <r>
    <n v="2647"/>
    <s v="Emp_1647"/>
    <x v="1"/>
    <x v="0"/>
    <x v="1"/>
    <x v="3"/>
    <n v="59"/>
    <n v="106158"/>
    <n v="7243"/>
    <x v="0"/>
    <n v="113401"/>
  </r>
  <r>
    <n v="2648"/>
    <s v="Emp_1648"/>
    <x v="4"/>
    <x v="0"/>
    <x v="4"/>
    <x v="1"/>
    <n v="29"/>
    <n v="75264"/>
    <n v="27263"/>
    <x v="0"/>
    <n v="102527"/>
  </r>
  <r>
    <n v="2649"/>
    <s v="Emp_1649"/>
    <x v="3"/>
    <x v="1"/>
    <x v="2"/>
    <x v="3"/>
    <n v="58"/>
    <n v="114120"/>
    <n v="6701"/>
    <x v="0"/>
    <n v="120821"/>
  </r>
  <r>
    <n v="2650"/>
    <s v="Emp_1650"/>
    <x v="2"/>
    <x v="1"/>
    <x v="4"/>
    <x v="3"/>
    <n v="48"/>
    <n v="67850"/>
    <n v="28613"/>
    <x v="0"/>
    <n v="96463"/>
  </r>
  <r>
    <n v="2651"/>
    <s v="Emp_1651"/>
    <x v="3"/>
    <x v="1"/>
    <x v="1"/>
    <x v="3"/>
    <n v="49"/>
    <n v="24722"/>
    <n v="22670"/>
    <x v="0"/>
    <n v="47392"/>
  </r>
  <r>
    <n v="2652"/>
    <s v="Emp_1652"/>
    <x v="5"/>
    <x v="0"/>
    <x v="1"/>
    <x v="3"/>
    <n v="55"/>
    <n v="37772"/>
    <n v="13303"/>
    <x v="1"/>
    <n v="51075"/>
  </r>
  <r>
    <n v="2653"/>
    <s v="Emp_1653"/>
    <x v="3"/>
    <x v="1"/>
    <x v="0"/>
    <x v="2"/>
    <n v="53"/>
    <n v="106105"/>
    <n v="20100"/>
    <x v="0"/>
    <n v="126205"/>
  </r>
  <r>
    <n v="2654"/>
    <s v="Emp_1654"/>
    <x v="5"/>
    <x v="1"/>
    <x v="3"/>
    <x v="1"/>
    <n v="36"/>
    <n v="61679"/>
    <n v="17998"/>
    <x v="0"/>
    <n v="79677"/>
  </r>
  <r>
    <n v="2655"/>
    <s v="Emp_1655"/>
    <x v="5"/>
    <x v="1"/>
    <x v="0"/>
    <x v="1"/>
    <n v="38"/>
    <n v="88771"/>
    <n v="14393"/>
    <x v="1"/>
    <n v="103164"/>
  </r>
  <r>
    <n v="2656"/>
    <s v="Emp_1656"/>
    <x v="3"/>
    <x v="1"/>
    <x v="1"/>
    <x v="2"/>
    <n v="54"/>
    <n v="24576"/>
    <n v="5947"/>
    <x v="1"/>
    <n v="30523"/>
  </r>
  <r>
    <n v="2657"/>
    <s v="Emp_1657"/>
    <x v="2"/>
    <x v="1"/>
    <x v="2"/>
    <x v="3"/>
    <n v="37"/>
    <n v="69554.53"/>
    <n v="25505"/>
    <x v="0"/>
    <n v="95059.53"/>
  </r>
  <r>
    <n v="2658"/>
    <s v="Emp_1658"/>
    <x v="4"/>
    <x v="0"/>
    <x v="2"/>
    <x v="3"/>
    <n v="50"/>
    <n v="119404"/>
    <n v="11553"/>
    <x v="0"/>
    <n v="130957"/>
  </r>
  <r>
    <n v="2659"/>
    <s v="Emp_1659"/>
    <x v="1"/>
    <x v="1"/>
    <x v="0"/>
    <x v="1"/>
    <n v="30"/>
    <n v="61632"/>
    <n v="5757"/>
    <x v="0"/>
    <n v="67389"/>
  </r>
  <r>
    <n v="2660"/>
    <s v="Emp_1660"/>
    <x v="1"/>
    <x v="1"/>
    <x v="1"/>
    <x v="2"/>
    <n v="54"/>
    <n v="61476"/>
    <n v="19866"/>
    <x v="0"/>
    <n v="81342"/>
  </r>
  <r>
    <n v="2661"/>
    <s v="Emp_1661"/>
    <x v="4"/>
    <x v="1"/>
    <x v="2"/>
    <x v="3"/>
    <n v="50"/>
    <n v="50285"/>
    <n v="16580"/>
    <x v="0"/>
    <n v="66865"/>
  </r>
  <r>
    <n v="2662"/>
    <s v="Emp_1662"/>
    <x v="5"/>
    <x v="1"/>
    <x v="1"/>
    <x v="3"/>
    <n v="34"/>
    <n v="44154"/>
    <n v="10651"/>
    <x v="0"/>
    <n v="54805"/>
  </r>
  <r>
    <n v="2663"/>
    <s v="Emp_1663"/>
    <x v="5"/>
    <x v="0"/>
    <x v="2"/>
    <x v="3"/>
    <n v="42"/>
    <n v="40054"/>
    <n v="12273"/>
    <x v="1"/>
    <n v="52327"/>
  </r>
  <r>
    <n v="2664"/>
    <s v="Emp_1664"/>
    <x v="2"/>
    <x v="0"/>
    <x v="1"/>
    <x v="0"/>
    <n v="42"/>
    <n v="37165"/>
    <n v="15033"/>
    <x v="1"/>
    <n v="52198"/>
  </r>
  <r>
    <n v="2665"/>
    <s v="Emp_1665"/>
    <x v="0"/>
    <x v="0"/>
    <x v="4"/>
    <x v="2"/>
    <n v="26"/>
    <n v="34439"/>
    <n v="8535"/>
    <x v="0"/>
    <n v="42974"/>
  </r>
  <r>
    <n v="2666"/>
    <s v="Emp_1666"/>
    <x v="3"/>
    <x v="1"/>
    <x v="1"/>
    <x v="3"/>
    <n v="31"/>
    <n v="69554.53"/>
    <n v="23677"/>
    <x v="0"/>
    <n v="93231.53"/>
  </r>
  <r>
    <n v="2667"/>
    <s v="Emp_1667"/>
    <x v="5"/>
    <x v="1"/>
    <x v="1"/>
    <x v="0"/>
    <n v="27"/>
    <n v="108051"/>
    <n v="22488"/>
    <x v="0"/>
    <n v="130539"/>
  </r>
  <r>
    <n v="2668"/>
    <s v="Emp_1668"/>
    <x v="1"/>
    <x v="0"/>
    <x v="0"/>
    <x v="2"/>
    <n v="34"/>
    <n v="46962"/>
    <n v="13853"/>
    <x v="0"/>
    <n v="60815"/>
  </r>
  <r>
    <n v="2669"/>
    <s v="Emp_1669"/>
    <x v="2"/>
    <x v="0"/>
    <x v="4"/>
    <x v="3"/>
    <n v="22"/>
    <n v="73934"/>
    <n v="5908"/>
    <x v="1"/>
    <n v="79842"/>
  </r>
  <r>
    <n v="2670"/>
    <s v="Emp_1670"/>
    <x v="3"/>
    <x v="0"/>
    <x v="3"/>
    <x v="1"/>
    <n v="41"/>
    <n v="57763"/>
    <n v="27923"/>
    <x v="0"/>
    <n v="85686"/>
  </r>
  <r>
    <n v="2671"/>
    <s v="Emp_1671"/>
    <x v="2"/>
    <x v="1"/>
    <x v="0"/>
    <x v="0"/>
    <n v="29"/>
    <n v="84094"/>
    <n v="9617"/>
    <x v="0"/>
    <n v="93711"/>
  </r>
  <r>
    <n v="2672"/>
    <s v="Emp_1672"/>
    <x v="3"/>
    <x v="1"/>
    <x v="3"/>
    <x v="0"/>
    <n v="31"/>
    <n v="39464"/>
    <n v="15048"/>
    <x v="1"/>
    <n v="54512"/>
  </r>
  <r>
    <n v="2673"/>
    <s v="Emp_1673"/>
    <x v="3"/>
    <x v="0"/>
    <x v="2"/>
    <x v="3"/>
    <n v="30"/>
    <n v="62036"/>
    <n v="28453"/>
    <x v="0"/>
    <n v="90489"/>
  </r>
  <r>
    <n v="2674"/>
    <s v="Emp_1674"/>
    <x v="4"/>
    <x v="0"/>
    <x v="3"/>
    <x v="3"/>
    <n v="24"/>
    <n v="115949"/>
    <n v="7311"/>
    <x v="0"/>
    <n v="123260"/>
  </r>
  <r>
    <n v="2675"/>
    <s v="Emp_1675"/>
    <x v="5"/>
    <x v="0"/>
    <x v="1"/>
    <x v="0"/>
    <n v="32"/>
    <n v="53270"/>
    <n v="21020"/>
    <x v="0"/>
    <n v="74290"/>
  </r>
  <r>
    <n v="2676"/>
    <s v="Emp_1676"/>
    <x v="2"/>
    <x v="1"/>
    <x v="3"/>
    <x v="1"/>
    <n v="33"/>
    <n v="62299"/>
    <n v="22173"/>
    <x v="0"/>
    <n v="84472"/>
  </r>
  <r>
    <n v="2677"/>
    <s v="Emp_1677"/>
    <x v="2"/>
    <x v="1"/>
    <x v="0"/>
    <x v="1"/>
    <n v="31"/>
    <n v="105805"/>
    <n v="18585"/>
    <x v="1"/>
    <n v="124390"/>
  </r>
  <r>
    <n v="2678"/>
    <s v="Emp_1678"/>
    <x v="4"/>
    <x v="1"/>
    <x v="0"/>
    <x v="2"/>
    <n v="46"/>
    <n v="51541"/>
    <n v="19017"/>
    <x v="0"/>
    <n v="70558"/>
  </r>
  <r>
    <n v="2679"/>
    <s v="Emp_1679"/>
    <x v="1"/>
    <x v="0"/>
    <x v="3"/>
    <x v="3"/>
    <n v="46"/>
    <n v="93545"/>
    <n v="21555"/>
    <x v="0"/>
    <n v="115100"/>
  </r>
  <r>
    <n v="2680"/>
    <s v="Emp_1680"/>
    <x v="1"/>
    <x v="0"/>
    <x v="0"/>
    <x v="1"/>
    <n v="32"/>
    <n v="102543"/>
    <n v="17552"/>
    <x v="0"/>
    <n v="120095"/>
  </r>
  <r>
    <n v="2681"/>
    <s v="Emp_1681"/>
    <x v="5"/>
    <x v="1"/>
    <x v="0"/>
    <x v="2"/>
    <n v="57"/>
    <n v="111998"/>
    <n v="29373"/>
    <x v="0"/>
    <n v="141371"/>
  </r>
  <r>
    <n v="2682"/>
    <s v="Emp_1682"/>
    <x v="5"/>
    <x v="0"/>
    <x v="3"/>
    <x v="1"/>
    <n v="47"/>
    <n v="97078"/>
    <n v="18337"/>
    <x v="1"/>
    <n v="115415"/>
  </r>
  <r>
    <n v="2683"/>
    <s v="Emp_1683"/>
    <x v="0"/>
    <x v="1"/>
    <x v="4"/>
    <x v="3"/>
    <n v="35"/>
    <n v="102970"/>
    <n v="6885"/>
    <x v="2"/>
    <n v="109855"/>
  </r>
  <r>
    <n v="2684"/>
    <s v="Emp_1684"/>
    <x v="4"/>
    <x v="0"/>
    <x v="4"/>
    <x v="2"/>
    <n v="22"/>
    <n v="49765"/>
    <n v="6049"/>
    <x v="0"/>
    <n v="55814"/>
  </r>
  <r>
    <n v="2685"/>
    <s v="Emp_1685"/>
    <x v="1"/>
    <x v="0"/>
    <x v="2"/>
    <x v="2"/>
    <n v="25"/>
    <n v="43769"/>
    <n v="25513"/>
    <x v="0"/>
    <n v="69282"/>
  </r>
  <r>
    <n v="2686"/>
    <s v="Emp_1686"/>
    <x v="3"/>
    <x v="0"/>
    <x v="0"/>
    <x v="2"/>
    <n v="51"/>
    <n v="108001"/>
    <n v="15503"/>
    <x v="2"/>
    <n v="123504"/>
  </r>
  <r>
    <n v="2687"/>
    <s v="Emp_1687"/>
    <x v="2"/>
    <x v="0"/>
    <x v="3"/>
    <x v="1"/>
    <n v="33"/>
    <n v="107404"/>
    <n v="6161"/>
    <x v="0"/>
    <n v="113565"/>
  </r>
  <r>
    <n v="2688"/>
    <s v="Emp_1688"/>
    <x v="5"/>
    <x v="1"/>
    <x v="0"/>
    <x v="3"/>
    <n v="56"/>
    <n v="40156"/>
    <n v="5815"/>
    <x v="0"/>
    <n v="45971"/>
  </r>
  <r>
    <n v="2689"/>
    <s v="Emp_1689"/>
    <x v="2"/>
    <x v="0"/>
    <x v="1"/>
    <x v="2"/>
    <n v="34"/>
    <n v="105836"/>
    <n v="8766"/>
    <x v="0"/>
    <n v="114602"/>
  </r>
  <r>
    <n v="2690"/>
    <s v="Emp_1690"/>
    <x v="2"/>
    <x v="1"/>
    <x v="0"/>
    <x v="0"/>
    <n v="52"/>
    <n v="70481"/>
    <n v="26045"/>
    <x v="0"/>
    <n v="96526"/>
  </r>
  <r>
    <n v="2691"/>
    <s v="Emp_1691"/>
    <x v="0"/>
    <x v="1"/>
    <x v="0"/>
    <x v="3"/>
    <n v="59"/>
    <n v="33435"/>
    <n v="8239"/>
    <x v="0"/>
    <n v="41674"/>
  </r>
  <r>
    <n v="2692"/>
    <s v="Emp_1692"/>
    <x v="1"/>
    <x v="1"/>
    <x v="4"/>
    <x v="0"/>
    <n v="44"/>
    <n v="89650"/>
    <n v="18942"/>
    <x v="0"/>
    <n v="108592"/>
  </r>
  <r>
    <n v="2693"/>
    <s v="Emp_1693"/>
    <x v="5"/>
    <x v="0"/>
    <x v="3"/>
    <x v="0"/>
    <n v="25"/>
    <n v="66336"/>
    <n v="13272"/>
    <x v="0"/>
    <n v="79608"/>
  </r>
  <r>
    <n v="2694"/>
    <s v="Emp_1694"/>
    <x v="2"/>
    <x v="1"/>
    <x v="0"/>
    <x v="2"/>
    <n v="37"/>
    <n v="56135"/>
    <n v="24188"/>
    <x v="0"/>
    <n v="80323"/>
  </r>
  <r>
    <n v="2695"/>
    <s v="Emp_1695"/>
    <x v="5"/>
    <x v="1"/>
    <x v="4"/>
    <x v="2"/>
    <n v="28"/>
    <n v="93631"/>
    <n v="29415"/>
    <x v="0"/>
    <n v="123046"/>
  </r>
  <r>
    <n v="2696"/>
    <s v="Emp_1696"/>
    <x v="3"/>
    <x v="1"/>
    <x v="2"/>
    <x v="1"/>
    <n v="43"/>
    <n v="57909"/>
    <n v="5869"/>
    <x v="0"/>
    <n v="63778"/>
  </r>
  <r>
    <n v="2697"/>
    <s v="Emp_1697"/>
    <x v="0"/>
    <x v="0"/>
    <x v="4"/>
    <x v="1"/>
    <n v="50"/>
    <n v="89487"/>
    <n v="10526"/>
    <x v="0"/>
    <n v="100013"/>
  </r>
  <r>
    <n v="2698"/>
    <s v="Emp_1698"/>
    <x v="3"/>
    <x v="0"/>
    <x v="4"/>
    <x v="1"/>
    <n v="32"/>
    <n v="41468"/>
    <n v="12741"/>
    <x v="0"/>
    <n v="54209"/>
  </r>
  <r>
    <n v="2699"/>
    <s v="Emp_1699"/>
    <x v="5"/>
    <x v="1"/>
    <x v="4"/>
    <x v="3"/>
    <n v="54"/>
    <n v="112609"/>
    <n v="9694"/>
    <x v="1"/>
    <n v="122303"/>
  </r>
  <r>
    <n v="2700"/>
    <s v="Emp_1700"/>
    <x v="5"/>
    <x v="0"/>
    <x v="0"/>
    <x v="1"/>
    <n v="50"/>
    <n v="67655"/>
    <n v="6934"/>
    <x v="1"/>
    <n v="74589"/>
  </r>
  <r>
    <n v="2701"/>
    <s v="Emp_1701"/>
    <x v="1"/>
    <x v="1"/>
    <x v="0"/>
    <x v="0"/>
    <n v="33"/>
    <n v="54341"/>
    <n v="26556"/>
    <x v="0"/>
    <n v="80897"/>
  </r>
  <r>
    <n v="2702"/>
    <s v="Emp_1702"/>
    <x v="2"/>
    <x v="1"/>
    <x v="2"/>
    <x v="1"/>
    <n v="28"/>
    <n v="84182"/>
    <n v="22087"/>
    <x v="0"/>
    <n v="106269"/>
  </r>
  <r>
    <n v="2703"/>
    <s v="Emp_1703"/>
    <x v="2"/>
    <x v="0"/>
    <x v="1"/>
    <x v="2"/>
    <n v="47"/>
    <n v="71786"/>
    <n v="21318"/>
    <x v="1"/>
    <n v="93104"/>
  </r>
  <r>
    <n v="2704"/>
    <s v="Emp_1704"/>
    <x v="3"/>
    <x v="1"/>
    <x v="1"/>
    <x v="1"/>
    <n v="30"/>
    <n v="88304"/>
    <n v="23907"/>
    <x v="0"/>
    <n v="112211"/>
  </r>
  <r>
    <n v="2705"/>
    <s v="Emp_1705"/>
    <x v="0"/>
    <x v="0"/>
    <x v="1"/>
    <x v="3"/>
    <n v="55"/>
    <n v="66514"/>
    <n v="24023"/>
    <x v="0"/>
    <n v="90537"/>
  </r>
  <r>
    <n v="2706"/>
    <s v="Emp_1706"/>
    <x v="4"/>
    <x v="0"/>
    <x v="2"/>
    <x v="3"/>
    <n v="34"/>
    <n v="53979"/>
    <n v="11159"/>
    <x v="0"/>
    <n v="65138"/>
  </r>
  <r>
    <n v="2707"/>
    <s v="Emp_1707"/>
    <x v="2"/>
    <x v="1"/>
    <x v="1"/>
    <x v="0"/>
    <n v="57"/>
    <n v="110887"/>
    <n v="20719"/>
    <x v="0"/>
    <n v="131606"/>
  </r>
  <r>
    <n v="2708"/>
    <s v="Emp_1708"/>
    <x v="1"/>
    <x v="0"/>
    <x v="1"/>
    <x v="3"/>
    <n v="46"/>
    <n v="100981"/>
    <n v="25293"/>
    <x v="0"/>
    <n v="126274"/>
  </r>
  <r>
    <n v="2709"/>
    <s v="Emp_1709"/>
    <x v="3"/>
    <x v="0"/>
    <x v="4"/>
    <x v="1"/>
    <n v="45"/>
    <n v="75107"/>
    <n v="17993"/>
    <x v="0"/>
    <n v="93100"/>
  </r>
  <r>
    <n v="2710"/>
    <s v="Emp_1710"/>
    <x v="3"/>
    <x v="1"/>
    <x v="0"/>
    <x v="2"/>
    <n v="38"/>
    <n v="21160"/>
    <n v="18813"/>
    <x v="0"/>
    <n v="39973"/>
  </r>
  <r>
    <n v="2711"/>
    <s v="Emp_1711"/>
    <x v="4"/>
    <x v="1"/>
    <x v="0"/>
    <x v="3"/>
    <n v="23"/>
    <n v="107897"/>
    <n v="6164"/>
    <x v="0"/>
    <n v="114061"/>
  </r>
  <r>
    <n v="2712"/>
    <s v="Emp_1712"/>
    <x v="1"/>
    <x v="0"/>
    <x v="4"/>
    <x v="0"/>
    <n v="34"/>
    <n v="92577"/>
    <n v="5619"/>
    <x v="1"/>
    <n v="98196"/>
  </r>
  <r>
    <n v="2713"/>
    <s v="Emp_1713"/>
    <x v="0"/>
    <x v="0"/>
    <x v="4"/>
    <x v="1"/>
    <n v="52"/>
    <n v="104303"/>
    <n v="12982"/>
    <x v="0"/>
    <n v="117285"/>
  </r>
  <r>
    <n v="2714"/>
    <s v="Emp_1714"/>
    <x v="1"/>
    <x v="1"/>
    <x v="4"/>
    <x v="0"/>
    <n v="50"/>
    <n v="30846"/>
    <n v="8066"/>
    <x v="1"/>
    <n v="38912"/>
  </r>
  <r>
    <n v="2715"/>
    <s v="Emp_1715"/>
    <x v="0"/>
    <x v="0"/>
    <x v="0"/>
    <x v="3"/>
    <n v="49"/>
    <n v="39924"/>
    <n v="26256"/>
    <x v="0"/>
    <n v="66180"/>
  </r>
  <r>
    <n v="2716"/>
    <s v="Emp_1716"/>
    <x v="1"/>
    <x v="0"/>
    <x v="1"/>
    <x v="3"/>
    <n v="48"/>
    <n v="33882"/>
    <n v="13638"/>
    <x v="1"/>
    <n v="47520"/>
  </r>
  <r>
    <n v="2717"/>
    <s v="Emp_1717"/>
    <x v="1"/>
    <x v="0"/>
    <x v="4"/>
    <x v="0"/>
    <n v="36"/>
    <n v="100274"/>
    <n v="7337"/>
    <x v="0"/>
    <n v="107611"/>
  </r>
  <r>
    <n v="2718"/>
    <s v="Emp_1718"/>
    <x v="5"/>
    <x v="2"/>
    <x v="2"/>
    <x v="1"/>
    <n v="52"/>
    <n v="106555"/>
    <n v="29784"/>
    <x v="0"/>
    <n v="136339"/>
  </r>
  <r>
    <n v="2719"/>
    <s v="Emp_1719"/>
    <x v="3"/>
    <x v="0"/>
    <x v="4"/>
    <x v="3"/>
    <n v="36"/>
    <n v="21095"/>
    <n v="10594"/>
    <x v="1"/>
    <n v="31689"/>
  </r>
  <r>
    <n v="2720"/>
    <s v="Emp_1720"/>
    <x v="1"/>
    <x v="0"/>
    <x v="3"/>
    <x v="2"/>
    <n v="54"/>
    <n v="60983"/>
    <n v="7460"/>
    <x v="0"/>
    <n v="68443"/>
  </r>
  <r>
    <n v="2721"/>
    <s v="Emp_1721"/>
    <x v="4"/>
    <x v="0"/>
    <x v="4"/>
    <x v="3"/>
    <n v="41"/>
    <n v="34123"/>
    <n v="11820"/>
    <x v="1"/>
    <n v="45943"/>
  </r>
  <r>
    <n v="2722"/>
    <s v="Emp_1722"/>
    <x v="1"/>
    <x v="1"/>
    <x v="0"/>
    <x v="1"/>
    <n v="33"/>
    <n v="113668"/>
    <n v="26930"/>
    <x v="0"/>
    <n v="140598"/>
  </r>
  <r>
    <n v="2723"/>
    <s v="Emp_1723"/>
    <x v="2"/>
    <x v="1"/>
    <x v="4"/>
    <x v="3"/>
    <n v="58"/>
    <n v="86615"/>
    <n v="8442"/>
    <x v="0"/>
    <n v="95057"/>
  </r>
  <r>
    <n v="2724"/>
    <s v="Emp_1724"/>
    <x v="3"/>
    <x v="1"/>
    <x v="3"/>
    <x v="0"/>
    <n v="30"/>
    <n v="115193"/>
    <n v="21191"/>
    <x v="0"/>
    <n v="136384"/>
  </r>
  <r>
    <n v="2725"/>
    <s v="Emp_1725"/>
    <x v="2"/>
    <x v="1"/>
    <x v="2"/>
    <x v="3"/>
    <n v="44"/>
    <n v="65278"/>
    <n v="24095"/>
    <x v="0"/>
    <n v="89373"/>
  </r>
  <r>
    <n v="2726"/>
    <s v="Emp_1726"/>
    <x v="3"/>
    <x v="1"/>
    <x v="1"/>
    <x v="3"/>
    <n v="29"/>
    <n v="117911"/>
    <n v="21326"/>
    <x v="0"/>
    <n v="139237"/>
  </r>
  <r>
    <n v="2727"/>
    <s v="Emp_1727"/>
    <x v="2"/>
    <x v="0"/>
    <x v="4"/>
    <x v="1"/>
    <n v="53"/>
    <n v="110290"/>
    <n v="15529"/>
    <x v="0"/>
    <n v="125819"/>
  </r>
  <r>
    <n v="2728"/>
    <s v="Emp_1728"/>
    <x v="1"/>
    <x v="0"/>
    <x v="3"/>
    <x v="0"/>
    <n v="35"/>
    <n v="71999"/>
    <n v="22675"/>
    <x v="0"/>
    <n v="94674"/>
  </r>
  <r>
    <n v="2729"/>
    <s v="Emp_1729"/>
    <x v="1"/>
    <x v="0"/>
    <x v="3"/>
    <x v="1"/>
    <n v="48"/>
    <n v="51153"/>
    <n v="15390"/>
    <x v="0"/>
    <n v="66543"/>
  </r>
  <r>
    <n v="2730"/>
    <s v="Emp_1730"/>
    <x v="5"/>
    <x v="0"/>
    <x v="2"/>
    <x v="3"/>
    <n v="46"/>
    <n v="38344"/>
    <n v="19030"/>
    <x v="0"/>
    <n v="57374"/>
  </r>
  <r>
    <n v="2731"/>
    <s v="Emp_1731"/>
    <x v="4"/>
    <x v="1"/>
    <x v="0"/>
    <x v="2"/>
    <n v="34"/>
    <n v="119777"/>
    <n v="10374"/>
    <x v="0"/>
    <n v="130151"/>
  </r>
  <r>
    <n v="2732"/>
    <s v="Emp_1732"/>
    <x v="2"/>
    <x v="0"/>
    <x v="4"/>
    <x v="3"/>
    <n v="42"/>
    <n v="57656"/>
    <n v="18142"/>
    <x v="0"/>
    <n v="75798"/>
  </r>
  <r>
    <n v="2733"/>
    <s v="Emp_1733"/>
    <x v="0"/>
    <x v="0"/>
    <x v="3"/>
    <x v="1"/>
    <n v="52"/>
    <n v="90515"/>
    <n v="24039"/>
    <x v="1"/>
    <n v="114554"/>
  </r>
  <r>
    <n v="2734"/>
    <s v="Emp_1734"/>
    <x v="5"/>
    <x v="1"/>
    <x v="2"/>
    <x v="2"/>
    <n v="58"/>
    <n v="21212"/>
    <n v="17204"/>
    <x v="0"/>
    <n v="38416"/>
  </r>
  <r>
    <n v="2735"/>
    <s v="Emp_1735"/>
    <x v="2"/>
    <x v="0"/>
    <x v="1"/>
    <x v="1"/>
    <n v="26"/>
    <n v="29001"/>
    <n v="27897"/>
    <x v="0"/>
    <n v="56898"/>
  </r>
  <r>
    <n v="2736"/>
    <s v="Emp_1736"/>
    <x v="2"/>
    <x v="0"/>
    <x v="3"/>
    <x v="1"/>
    <n v="34"/>
    <n v="98784"/>
    <n v="12394"/>
    <x v="0"/>
    <n v="111178"/>
  </r>
  <r>
    <n v="2737"/>
    <s v="Emp_1737"/>
    <x v="5"/>
    <x v="1"/>
    <x v="2"/>
    <x v="0"/>
    <n v="49"/>
    <n v="118723"/>
    <n v="22088"/>
    <x v="1"/>
    <n v="140811"/>
  </r>
  <r>
    <n v="2738"/>
    <s v="Emp_1738"/>
    <x v="1"/>
    <x v="0"/>
    <x v="0"/>
    <x v="2"/>
    <n v="46"/>
    <n v="101144"/>
    <n v="5825"/>
    <x v="0"/>
    <n v="106969"/>
  </r>
  <r>
    <n v="2739"/>
    <s v="Emp_1739"/>
    <x v="2"/>
    <x v="0"/>
    <x v="0"/>
    <x v="3"/>
    <n v="56"/>
    <n v="56427"/>
    <n v="14196"/>
    <x v="1"/>
    <n v="70623"/>
  </r>
  <r>
    <n v="2740"/>
    <s v="Emp_1740"/>
    <x v="1"/>
    <x v="0"/>
    <x v="3"/>
    <x v="1"/>
    <n v="28"/>
    <n v="51368"/>
    <n v="16652"/>
    <x v="0"/>
    <n v="68020"/>
  </r>
  <r>
    <n v="2741"/>
    <s v="Emp_1741"/>
    <x v="5"/>
    <x v="0"/>
    <x v="3"/>
    <x v="3"/>
    <n v="59"/>
    <n v="90819"/>
    <n v="21760"/>
    <x v="0"/>
    <n v="112579"/>
  </r>
  <r>
    <n v="2742"/>
    <s v="Emp_1742"/>
    <x v="1"/>
    <x v="0"/>
    <x v="4"/>
    <x v="0"/>
    <n v="53"/>
    <n v="81160"/>
    <n v="5972"/>
    <x v="0"/>
    <n v="87132"/>
  </r>
  <r>
    <n v="2743"/>
    <s v="Emp_1743"/>
    <x v="3"/>
    <x v="1"/>
    <x v="2"/>
    <x v="0"/>
    <n v="24"/>
    <n v="45854"/>
    <n v="25597"/>
    <x v="0"/>
    <n v="71451"/>
  </r>
  <r>
    <n v="2744"/>
    <s v="Emp_1744"/>
    <x v="0"/>
    <x v="1"/>
    <x v="3"/>
    <x v="2"/>
    <n v="58"/>
    <n v="30715"/>
    <n v="16268"/>
    <x v="0"/>
    <n v="46983"/>
  </r>
  <r>
    <n v="2745"/>
    <s v="Emp_1745"/>
    <x v="2"/>
    <x v="1"/>
    <x v="4"/>
    <x v="0"/>
    <n v="43"/>
    <n v="101701"/>
    <n v="5443"/>
    <x v="0"/>
    <n v="107144"/>
  </r>
  <r>
    <n v="2746"/>
    <s v="Emp_1746"/>
    <x v="4"/>
    <x v="1"/>
    <x v="4"/>
    <x v="0"/>
    <n v="29"/>
    <n v="78784"/>
    <n v="28903"/>
    <x v="0"/>
    <n v="107687"/>
  </r>
  <r>
    <n v="2747"/>
    <s v="Emp_1747"/>
    <x v="0"/>
    <x v="1"/>
    <x v="3"/>
    <x v="3"/>
    <n v="38"/>
    <n v="119644"/>
    <n v="5754"/>
    <x v="0"/>
    <n v="125398"/>
  </r>
  <r>
    <n v="2748"/>
    <s v="Emp_1748"/>
    <x v="1"/>
    <x v="1"/>
    <x v="0"/>
    <x v="0"/>
    <n v="48"/>
    <n v="46797"/>
    <n v="21023"/>
    <x v="0"/>
    <n v="67820"/>
  </r>
  <r>
    <n v="2749"/>
    <s v="Emp_1749"/>
    <x v="2"/>
    <x v="0"/>
    <x v="2"/>
    <x v="0"/>
    <n v="54"/>
    <n v="67573"/>
    <n v="26119"/>
    <x v="0"/>
    <n v="93692"/>
  </r>
  <r>
    <n v="2750"/>
    <s v="Emp_1750"/>
    <x v="1"/>
    <x v="1"/>
    <x v="2"/>
    <x v="1"/>
    <n v="38"/>
    <n v="96120"/>
    <n v="15363"/>
    <x v="0"/>
    <n v="111483"/>
  </r>
  <r>
    <n v="2751"/>
    <s v="Emp_1751"/>
    <x v="3"/>
    <x v="1"/>
    <x v="0"/>
    <x v="0"/>
    <n v="33"/>
    <n v="34780"/>
    <n v="15897"/>
    <x v="0"/>
    <n v="50677"/>
  </r>
  <r>
    <n v="2752"/>
    <s v="Emp_1752"/>
    <x v="5"/>
    <x v="0"/>
    <x v="3"/>
    <x v="1"/>
    <n v="48"/>
    <n v="57905"/>
    <n v="10396"/>
    <x v="1"/>
    <n v="68301"/>
  </r>
  <r>
    <n v="2753"/>
    <s v="Emp_1753"/>
    <x v="2"/>
    <x v="0"/>
    <x v="2"/>
    <x v="0"/>
    <n v="29"/>
    <n v="69554.53"/>
    <n v="8465"/>
    <x v="0"/>
    <n v="78019.53"/>
  </r>
  <r>
    <n v="2754"/>
    <s v="Emp_1754"/>
    <x v="3"/>
    <x v="1"/>
    <x v="3"/>
    <x v="0"/>
    <n v="44"/>
    <n v="53359"/>
    <n v="7711"/>
    <x v="0"/>
    <n v="61070"/>
  </r>
  <r>
    <n v="2755"/>
    <s v="Emp_1755"/>
    <x v="3"/>
    <x v="0"/>
    <x v="3"/>
    <x v="2"/>
    <n v="50"/>
    <n v="86062"/>
    <n v="23791"/>
    <x v="0"/>
    <n v="109853"/>
  </r>
  <r>
    <n v="2756"/>
    <s v="Emp_1756"/>
    <x v="2"/>
    <x v="1"/>
    <x v="4"/>
    <x v="2"/>
    <n v="41"/>
    <n v="93391"/>
    <n v="26972"/>
    <x v="1"/>
    <n v="120363"/>
  </r>
  <r>
    <n v="2757"/>
    <s v="Emp_1757"/>
    <x v="1"/>
    <x v="0"/>
    <x v="0"/>
    <x v="1"/>
    <n v="37"/>
    <n v="63463"/>
    <n v="27488"/>
    <x v="0"/>
    <n v="90951"/>
  </r>
  <r>
    <n v="2758"/>
    <s v="Emp_1758"/>
    <x v="4"/>
    <x v="1"/>
    <x v="3"/>
    <x v="0"/>
    <n v="38"/>
    <n v="119596"/>
    <n v="10747"/>
    <x v="0"/>
    <n v="130343"/>
  </r>
  <r>
    <n v="2759"/>
    <s v="Emp_1759"/>
    <x v="3"/>
    <x v="0"/>
    <x v="1"/>
    <x v="3"/>
    <n v="37"/>
    <n v="115018"/>
    <n v="23107"/>
    <x v="0"/>
    <n v="138125"/>
  </r>
  <r>
    <n v="2760"/>
    <s v="Emp_1760"/>
    <x v="0"/>
    <x v="0"/>
    <x v="0"/>
    <x v="2"/>
    <n v="40"/>
    <n v="36571"/>
    <n v="28608"/>
    <x v="0"/>
    <n v="65179"/>
  </r>
  <r>
    <n v="2761"/>
    <s v="Emp_1761"/>
    <x v="3"/>
    <x v="1"/>
    <x v="2"/>
    <x v="3"/>
    <n v="29"/>
    <n v="117276"/>
    <n v="6919"/>
    <x v="0"/>
    <n v="124195"/>
  </r>
  <r>
    <n v="2762"/>
    <s v="Emp_1762"/>
    <x v="4"/>
    <x v="1"/>
    <x v="4"/>
    <x v="2"/>
    <n v="59"/>
    <n v="39142"/>
    <n v="22302"/>
    <x v="0"/>
    <n v="61444"/>
  </r>
  <r>
    <n v="2763"/>
    <s v="Emp_1763"/>
    <x v="1"/>
    <x v="0"/>
    <x v="2"/>
    <x v="2"/>
    <n v="59"/>
    <n v="45104"/>
    <n v="18473"/>
    <x v="1"/>
    <n v="63577"/>
  </r>
  <r>
    <n v="2764"/>
    <s v="Emp_1764"/>
    <x v="1"/>
    <x v="1"/>
    <x v="2"/>
    <x v="0"/>
    <n v="50"/>
    <n v="28625"/>
    <n v="25599"/>
    <x v="0"/>
    <n v="54224"/>
  </r>
  <r>
    <n v="2765"/>
    <s v="Emp_1765"/>
    <x v="0"/>
    <x v="1"/>
    <x v="0"/>
    <x v="2"/>
    <n v="57"/>
    <n v="59199"/>
    <n v="21965"/>
    <x v="1"/>
    <n v="81164"/>
  </r>
  <r>
    <n v="2766"/>
    <s v="Emp_1766"/>
    <x v="3"/>
    <x v="0"/>
    <x v="2"/>
    <x v="3"/>
    <n v="47"/>
    <n v="35926"/>
    <n v="19235"/>
    <x v="0"/>
    <n v="55161"/>
  </r>
  <r>
    <n v="2767"/>
    <s v="Emp_1767"/>
    <x v="1"/>
    <x v="1"/>
    <x v="3"/>
    <x v="2"/>
    <n v="52"/>
    <n v="51218"/>
    <n v="20710"/>
    <x v="1"/>
    <n v="71928"/>
  </r>
  <r>
    <n v="2768"/>
    <s v="Emp_1768"/>
    <x v="4"/>
    <x v="1"/>
    <x v="2"/>
    <x v="1"/>
    <n v="33"/>
    <n v="64472"/>
    <n v="19434"/>
    <x v="0"/>
    <n v="83906"/>
  </r>
  <r>
    <n v="2769"/>
    <s v="Emp_1769"/>
    <x v="2"/>
    <x v="0"/>
    <x v="4"/>
    <x v="0"/>
    <n v="38"/>
    <n v="111916"/>
    <n v="18478"/>
    <x v="1"/>
    <n v="130394"/>
  </r>
  <r>
    <n v="2770"/>
    <s v="Emp_1770"/>
    <x v="5"/>
    <x v="0"/>
    <x v="4"/>
    <x v="0"/>
    <n v="36"/>
    <n v="40566"/>
    <n v="8881"/>
    <x v="0"/>
    <n v="49447"/>
  </r>
  <r>
    <n v="2771"/>
    <s v="Emp_1771"/>
    <x v="5"/>
    <x v="1"/>
    <x v="1"/>
    <x v="1"/>
    <n v="30"/>
    <n v="76125"/>
    <n v="25293"/>
    <x v="1"/>
    <n v="101418"/>
  </r>
  <r>
    <n v="2772"/>
    <s v="Emp_1772"/>
    <x v="5"/>
    <x v="0"/>
    <x v="4"/>
    <x v="1"/>
    <n v="33"/>
    <n v="53205"/>
    <n v="6999"/>
    <x v="0"/>
    <n v="60204"/>
  </r>
  <r>
    <n v="2773"/>
    <s v="Emp_1773"/>
    <x v="3"/>
    <x v="0"/>
    <x v="2"/>
    <x v="1"/>
    <n v="53"/>
    <n v="49717"/>
    <n v="19849"/>
    <x v="0"/>
    <n v="69566"/>
  </r>
  <r>
    <n v="2774"/>
    <s v="Emp_1774"/>
    <x v="0"/>
    <x v="1"/>
    <x v="4"/>
    <x v="2"/>
    <n v="46"/>
    <n v="69984"/>
    <n v="15903"/>
    <x v="1"/>
    <n v="85887"/>
  </r>
  <r>
    <n v="2775"/>
    <s v="Emp_1775"/>
    <x v="1"/>
    <x v="0"/>
    <x v="0"/>
    <x v="0"/>
    <n v="39"/>
    <n v="45135"/>
    <n v="21784"/>
    <x v="0"/>
    <n v="66919"/>
  </r>
  <r>
    <n v="2776"/>
    <s v="Emp_1776"/>
    <x v="2"/>
    <x v="0"/>
    <x v="4"/>
    <x v="1"/>
    <n v="36"/>
    <n v="48164"/>
    <n v="19700"/>
    <x v="0"/>
    <n v="67864"/>
  </r>
  <r>
    <n v="2777"/>
    <s v="Emp_1777"/>
    <x v="4"/>
    <x v="1"/>
    <x v="3"/>
    <x v="2"/>
    <n v="53"/>
    <n v="94489"/>
    <n v="25032"/>
    <x v="1"/>
    <n v="119521"/>
  </r>
  <r>
    <n v="2778"/>
    <s v="Emp_1778"/>
    <x v="2"/>
    <x v="1"/>
    <x v="0"/>
    <x v="1"/>
    <n v="27"/>
    <n v="58562"/>
    <n v="10445"/>
    <x v="1"/>
    <n v="69007"/>
  </r>
  <r>
    <n v="2779"/>
    <s v="Emp_1779"/>
    <x v="4"/>
    <x v="0"/>
    <x v="1"/>
    <x v="3"/>
    <n v="56"/>
    <n v="89110"/>
    <n v="7628"/>
    <x v="0"/>
    <n v="96738"/>
  </r>
  <r>
    <n v="2780"/>
    <s v="Emp_1780"/>
    <x v="3"/>
    <x v="0"/>
    <x v="3"/>
    <x v="3"/>
    <n v="55"/>
    <n v="40169"/>
    <n v="23040"/>
    <x v="1"/>
    <n v="63209"/>
  </r>
  <r>
    <n v="2781"/>
    <s v="Emp_1781"/>
    <x v="5"/>
    <x v="1"/>
    <x v="2"/>
    <x v="0"/>
    <n v="59"/>
    <n v="79858"/>
    <n v="22004"/>
    <x v="1"/>
    <n v="101862"/>
  </r>
  <r>
    <n v="2782"/>
    <s v="Emp_1782"/>
    <x v="3"/>
    <x v="0"/>
    <x v="2"/>
    <x v="2"/>
    <n v="26"/>
    <n v="41604"/>
    <n v="5246"/>
    <x v="0"/>
    <n v="46850"/>
  </r>
  <r>
    <n v="2783"/>
    <s v="Emp_1783"/>
    <x v="0"/>
    <x v="0"/>
    <x v="2"/>
    <x v="3"/>
    <n v="39"/>
    <n v="109670"/>
    <n v="10212"/>
    <x v="0"/>
    <n v="119882"/>
  </r>
  <r>
    <n v="2784"/>
    <s v="Emp_1784"/>
    <x v="0"/>
    <x v="0"/>
    <x v="3"/>
    <x v="3"/>
    <n v="37"/>
    <n v="108738"/>
    <n v="8339"/>
    <x v="0"/>
    <n v="117077"/>
  </r>
  <r>
    <n v="2785"/>
    <s v="Emp_1785"/>
    <x v="4"/>
    <x v="1"/>
    <x v="3"/>
    <x v="2"/>
    <n v="29"/>
    <n v="20684"/>
    <n v="28142"/>
    <x v="1"/>
    <n v="48826"/>
  </r>
  <r>
    <n v="2786"/>
    <s v="Emp_1786"/>
    <x v="1"/>
    <x v="0"/>
    <x v="3"/>
    <x v="1"/>
    <n v="46"/>
    <n v="28007"/>
    <n v="28470"/>
    <x v="0"/>
    <n v="56477"/>
  </r>
  <r>
    <n v="2787"/>
    <s v="Emp_1787"/>
    <x v="1"/>
    <x v="0"/>
    <x v="0"/>
    <x v="2"/>
    <n v="53"/>
    <n v="69554.53"/>
    <n v="24394"/>
    <x v="0"/>
    <n v="93948.53"/>
  </r>
  <r>
    <n v="2788"/>
    <s v="Emp_1788"/>
    <x v="4"/>
    <x v="1"/>
    <x v="0"/>
    <x v="1"/>
    <n v="47"/>
    <n v="69582"/>
    <n v="26103"/>
    <x v="0"/>
    <n v="95685"/>
  </r>
  <r>
    <n v="2789"/>
    <s v="Emp_1789"/>
    <x v="0"/>
    <x v="0"/>
    <x v="2"/>
    <x v="3"/>
    <n v="43"/>
    <n v="94791"/>
    <n v="7368"/>
    <x v="1"/>
    <n v="102159"/>
  </r>
  <r>
    <n v="2790"/>
    <s v="Emp_1790"/>
    <x v="0"/>
    <x v="0"/>
    <x v="4"/>
    <x v="3"/>
    <n v="52"/>
    <n v="117798"/>
    <n v="17186"/>
    <x v="0"/>
    <n v="134984"/>
  </r>
  <r>
    <n v="2791"/>
    <s v="Emp_1791"/>
    <x v="0"/>
    <x v="1"/>
    <x v="2"/>
    <x v="3"/>
    <n v="31"/>
    <n v="103629"/>
    <n v="6839"/>
    <x v="0"/>
    <n v="110468"/>
  </r>
  <r>
    <n v="2792"/>
    <s v="Emp_1792"/>
    <x v="3"/>
    <x v="1"/>
    <x v="1"/>
    <x v="0"/>
    <n v="33"/>
    <n v="25782"/>
    <n v="24287"/>
    <x v="0"/>
    <n v="50069"/>
  </r>
  <r>
    <n v="2793"/>
    <s v="Emp_1793"/>
    <x v="0"/>
    <x v="1"/>
    <x v="0"/>
    <x v="0"/>
    <n v="49"/>
    <n v="86770"/>
    <n v="11205"/>
    <x v="0"/>
    <n v="97975"/>
  </r>
  <r>
    <n v="2794"/>
    <s v="Emp_1794"/>
    <x v="2"/>
    <x v="1"/>
    <x v="3"/>
    <x v="0"/>
    <n v="27"/>
    <n v="77645"/>
    <n v="9395"/>
    <x v="0"/>
    <n v="87040"/>
  </r>
  <r>
    <n v="2795"/>
    <s v="Emp_1795"/>
    <x v="5"/>
    <x v="0"/>
    <x v="0"/>
    <x v="2"/>
    <n v="41"/>
    <n v="119724"/>
    <n v="20290"/>
    <x v="1"/>
    <n v="140014"/>
  </r>
  <r>
    <n v="2796"/>
    <s v="Emp_1796"/>
    <x v="0"/>
    <x v="0"/>
    <x v="3"/>
    <x v="3"/>
    <n v="26"/>
    <n v="51996"/>
    <n v="27151"/>
    <x v="0"/>
    <n v="79147"/>
  </r>
  <r>
    <n v="2797"/>
    <s v="Emp_1797"/>
    <x v="4"/>
    <x v="1"/>
    <x v="1"/>
    <x v="3"/>
    <n v="44"/>
    <n v="49204"/>
    <n v="8691"/>
    <x v="0"/>
    <n v="57895"/>
  </r>
  <r>
    <n v="2798"/>
    <s v="Emp_1798"/>
    <x v="5"/>
    <x v="1"/>
    <x v="1"/>
    <x v="2"/>
    <n v="30"/>
    <n v="37152"/>
    <n v="12470"/>
    <x v="0"/>
    <n v="49622"/>
  </r>
  <r>
    <n v="2799"/>
    <s v="Emp_1799"/>
    <x v="3"/>
    <x v="0"/>
    <x v="0"/>
    <x v="0"/>
    <n v="50"/>
    <n v="75186"/>
    <n v="8841"/>
    <x v="0"/>
    <n v="84027"/>
  </r>
  <r>
    <n v="2800"/>
    <s v="Emp_1800"/>
    <x v="4"/>
    <x v="1"/>
    <x v="3"/>
    <x v="2"/>
    <n v="37"/>
    <n v="110555"/>
    <n v="9348"/>
    <x v="1"/>
    <n v="119903"/>
  </r>
  <r>
    <n v="2801"/>
    <s v="Emp_1801"/>
    <x v="5"/>
    <x v="0"/>
    <x v="1"/>
    <x v="0"/>
    <n v="43"/>
    <n v="105024"/>
    <n v="28005"/>
    <x v="0"/>
    <n v="133029"/>
  </r>
  <r>
    <n v="2802"/>
    <s v="Emp_1802"/>
    <x v="4"/>
    <x v="1"/>
    <x v="2"/>
    <x v="3"/>
    <n v="29"/>
    <n v="39689"/>
    <n v="22776"/>
    <x v="0"/>
    <n v="62465"/>
  </r>
  <r>
    <n v="2803"/>
    <s v="Emp_1803"/>
    <x v="3"/>
    <x v="0"/>
    <x v="2"/>
    <x v="1"/>
    <n v="41"/>
    <n v="70690"/>
    <n v="11060"/>
    <x v="0"/>
    <n v="81750"/>
  </r>
  <r>
    <n v="2804"/>
    <s v="Emp_1804"/>
    <x v="2"/>
    <x v="1"/>
    <x v="3"/>
    <x v="0"/>
    <n v="35"/>
    <n v="114042"/>
    <n v="25639"/>
    <x v="0"/>
    <n v="139681"/>
  </r>
  <r>
    <n v="2805"/>
    <s v="Emp_1805"/>
    <x v="3"/>
    <x v="1"/>
    <x v="0"/>
    <x v="3"/>
    <n v="58"/>
    <n v="103251"/>
    <n v="20525"/>
    <x v="0"/>
    <n v="123776"/>
  </r>
  <r>
    <n v="2806"/>
    <s v="Emp_1806"/>
    <x v="3"/>
    <x v="0"/>
    <x v="1"/>
    <x v="3"/>
    <n v="55"/>
    <n v="77320"/>
    <n v="9300"/>
    <x v="1"/>
    <n v="86620"/>
  </r>
  <r>
    <n v="2807"/>
    <s v="Emp_1807"/>
    <x v="4"/>
    <x v="1"/>
    <x v="0"/>
    <x v="1"/>
    <n v="32"/>
    <n v="84226"/>
    <n v="8338"/>
    <x v="2"/>
    <n v="92564"/>
  </r>
  <r>
    <n v="2808"/>
    <s v="Emp_1808"/>
    <x v="1"/>
    <x v="0"/>
    <x v="2"/>
    <x v="3"/>
    <n v="54"/>
    <n v="76091"/>
    <n v="10487"/>
    <x v="0"/>
    <n v="86578"/>
  </r>
  <r>
    <n v="2809"/>
    <s v="Emp_1809"/>
    <x v="0"/>
    <x v="0"/>
    <x v="1"/>
    <x v="3"/>
    <n v="52"/>
    <n v="99301"/>
    <n v="8514"/>
    <x v="2"/>
    <n v="107815"/>
  </r>
  <r>
    <n v="2810"/>
    <s v="Emp_1810"/>
    <x v="0"/>
    <x v="0"/>
    <x v="0"/>
    <x v="0"/>
    <n v="55"/>
    <n v="41942"/>
    <n v="22143"/>
    <x v="1"/>
    <n v="64085"/>
  </r>
  <r>
    <n v="2811"/>
    <s v="Emp_1811"/>
    <x v="2"/>
    <x v="0"/>
    <x v="4"/>
    <x v="0"/>
    <n v="28"/>
    <n v="58712"/>
    <n v="16280"/>
    <x v="0"/>
    <n v="74992"/>
  </r>
  <r>
    <n v="2812"/>
    <s v="Emp_1812"/>
    <x v="2"/>
    <x v="0"/>
    <x v="3"/>
    <x v="1"/>
    <n v="44"/>
    <n v="85277"/>
    <n v="15307"/>
    <x v="0"/>
    <n v="100584"/>
  </r>
  <r>
    <n v="2813"/>
    <s v="Emp_1813"/>
    <x v="0"/>
    <x v="1"/>
    <x v="3"/>
    <x v="1"/>
    <n v="28"/>
    <n v="69632"/>
    <n v="14915"/>
    <x v="1"/>
    <n v="84547"/>
  </r>
  <r>
    <n v="2814"/>
    <s v="Emp_1814"/>
    <x v="1"/>
    <x v="1"/>
    <x v="4"/>
    <x v="3"/>
    <n v="46"/>
    <n v="58031"/>
    <n v="16158"/>
    <x v="0"/>
    <n v="74189"/>
  </r>
  <r>
    <n v="2815"/>
    <s v="Emp_1815"/>
    <x v="0"/>
    <x v="0"/>
    <x v="2"/>
    <x v="0"/>
    <n v="24"/>
    <n v="40478"/>
    <n v="13621"/>
    <x v="0"/>
    <n v="54099"/>
  </r>
  <r>
    <n v="2816"/>
    <s v="Emp_1816"/>
    <x v="1"/>
    <x v="2"/>
    <x v="1"/>
    <x v="1"/>
    <n v="59"/>
    <n v="42551"/>
    <n v="15547"/>
    <x v="0"/>
    <n v="58098"/>
  </r>
  <r>
    <n v="2817"/>
    <s v="Emp_1817"/>
    <x v="2"/>
    <x v="0"/>
    <x v="3"/>
    <x v="1"/>
    <n v="41"/>
    <n v="68068"/>
    <n v="28177"/>
    <x v="0"/>
    <n v="96245"/>
  </r>
  <r>
    <n v="2818"/>
    <s v="Emp_1818"/>
    <x v="5"/>
    <x v="1"/>
    <x v="4"/>
    <x v="2"/>
    <n v="55"/>
    <n v="113608"/>
    <n v="18485"/>
    <x v="0"/>
    <n v="132093"/>
  </r>
  <r>
    <n v="2819"/>
    <s v="Emp_1819"/>
    <x v="4"/>
    <x v="1"/>
    <x v="4"/>
    <x v="1"/>
    <n v="51"/>
    <n v="55561"/>
    <n v="7459"/>
    <x v="0"/>
    <n v="63020"/>
  </r>
  <r>
    <n v="2820"/>
    <s v="Emp_1820"/>
    <x v="2"/>
    <x v="1"/>
    <x v="2"/>
    <x v="3"/>
    <n v="38"/>
    <n v="22892"/>
    <n v="10273"/>
    <x v="0"/>
    <n v="33165"/>
  </r>
  <r>
    <n v="2821"/>
    <s v="Emp_1821"/>
    <x v="2"/>
    <x v="1"/>
    <x v="2"/>
    <x v="0"/>
    <n v="31"/>
    <n v="119502"/>
    <n v="23102"/>
    <x v="0"/>
    <n v="142604"/>
  </r>
  <r>
    <n v="2822"/>
    <s v="Emp_1822"/>
    <x v="3"/>
    <x v="0"/>
    <x v="0"/>
    <x v="1"/>
    <n v="56"/>
    <n v="44395"/>
    <n v="14457"/>
    <x v="1"/>
    <n v="58852"/>
  </r>
  <r>
    <n v="2823"/>
    <s v="Emp_1823"/>
    <x v="3"/>
    <x v="0"/>
    <x v="3"/>
    <x v="2"/>
    <n v="41"/>
    <n v="38756"/>
    <n v="10423"/>
    <x v="0"/>
    <n v="49179"/>
  </r>
  <r>
    <n v="2824"/>
    <s v="Emp_1824"/>
    <x v="3"/>
    <x v="1"/>
    <x v="0"/>
    <x v="0"/>
    <n v="39"/>
    <n v="107710"/>
    <n v="22692"/>
    <x v="0"/>
    <n v="130402"/>
  </r>
  <r>
    <n v="2825"/>
    <s v="Emp_1825"/>
    <x v="4"/>
    <x v="1"/>
    <x v="4"/>
    <x v="1"/>
    <n v="48"/>
    <n v="54651"/>
    <n v="22434"/>
    <x v="0"/>
    <n v="77085"/>
  </r>
  <r>
    <n v="2826"/>
    <s v="Emp_1826"/>
    <x v="3"/>
    <x v="0"/>
    <x v="1"/>
    <x v="2"/>
    <n v="57"/>
    <n v="86333"/>
    <n v="10479"/>
    <x v="1"/>
    <n v="96812"/>
  </r>
  <r>
    <n v="2827"/>
    <s v="Emp_1827"/>
    <x v="6"/>
    <x v="1"/>
    <x v="1"/>
    <x v="1"/>
    <n v="44"/>
    <n v="93745"/>
    <n v="20419"/>
    <x v="1"/>
    <n v="114164"/>
  </r>
  <r>
    <n v="2828"/>
    <s v="Emp_1828"/>
    <x v="0"/>
    <x v="0"/>
    <x v="2"/>
    <x v="0"/>
    <n v="53"/>
    <n v="69306"/>
    <n v="7249"/>
    <x v="0"/>
    <n v="76555"/>
  </r>
  <r>
    <n v="2829"/>
    <s v="Emp_1829"/>
    <x v="5"/>
    <x v="0"/>
    <x v="1"/>
    <x v="0"/>
    <n v="31"/>
    <n v="69554.53"/>
    <n v="7809"/>
    <x v="0"/>
    <n v="77363.53"/>
  </r>
  <r>
    <n v="2830"/>
    <s v="Emp_1830"/>
    <x v="2"/>
    <x v="0"/>
    <x v="1"/>
    <x v="0"/>
    <n v="32"/>
    <n v="48024"/>
    <n v="7921"/>
    <x v="0"/>
    <n v="55945"/>
  </r>
  <r>
    <n v="2831"/>
    <s v="Emp_1831"/>
    <x v="1"/>
    <x v="1"/>
    <x v="1"/>
    <x v="3"/>
    <n v="59"/>
    <n v="114950"/>
    <n v="9676"/>
    <x v="0"/>
    <n v="124626"/>
  </r>
  <r>
    <n v="2832"/>
    <s v="Emp_1832"/>
    <x v="5"/>
    <x v="0"/>
    <x v="4"/>
    <x v="1"/>
    <n v="27"/>
    <n v="60818"/>
    <n v="25425"/>
    <x v="0"/>
    <n v="86243"/>
  </r>
  <r>
    <n v="2833"/>
    <s v="Emp_1833"/>
    <x v="1"/>
    <x v="1"/>
    <x v="1"/>
    <x v="3"/>
    <n v="55"/>
    <n v="25947"/>
    <n v="7417"/>
    <x v="0"/>
    <n v="33364"/>
  </r>
  <r>
    <n v="2834"/>
    <s v="Emp_1834"/>
    <x v="1"/>
    <x v="0"/>
    <x v="1"/>
    <x v="0"/>
    <n v="57"/>
    <n v="95153"/>
    <n v="21916"/>
    <x v="1"/>
    <n v="117069"/>
  </r>
  <r>
    <n v="2835"/>
    <s v="Emp_1835"/>
    <x v="2"/>
    <x v="1"/>
    <x v="1"/>
    <x v="2"/>
    <n v="58"/>
    <n v="69554.53"/>
    <n v="18463"/>
    <x v="0"/>
    <n v="88017.53"/>
  </r>
  <r>
    <n v="2836"/>
    <s v="Emp_1836"/>
    <x v="0"/>
    <x v="1"/>
    <x v="0"/>
    <x v="1"/>
    <n v="38"/>
    <n v="114238"/>
    <n v="13167"/>
    <x v="0"/>
    <n v="127405"/>
  </r>
  <r>
    <n v="2837"/>
    <s v="Emp_1837"/>
    <x v="3"/>
    <x v="1"/>
    <x v="4"/>
    <x v="3"/>
    <n v="33"/>
    <n v="87428"/>
    <n v="6469"/>
    <x v="0"/>
    <n v="93897"/>
  </r>
  <r>
    <n v="2838"/>
    <s v="Emp_1838"/>
    <x v="4"/>
    <x v="0"/>
    <x v="2"/>
    <x v="1"/>
    <n v="42"/>
    <n v="49754"/>
    <n v="12292"/>
    <x v="0"/>
    <n v="62046"/>
  </r>
  <r>
    <n v="2839"/>
    <s v="Emp_1839"/>
    <x v="0"/>
    <x v="0"/>
    <x v="0"/>
    <x v="2"/>
    <n v="40"/>
    <n v="83355"/>
    <n v="28526"/>
    <x v="0"/>
    <n v="111881"/>
  </r>
  <r>
    <n v="2840"/>
    <s v="Emp_1840"/>
    <x v="4"/>
    <x v="1"/>
    <x v="3"/>
    <x v="3"/>
    <n v="24"/>
    <n v="78241"/>
    <n v="27384"/>
    <x v="0"/>
    <n v="105625"/>
  </r>
  <r>
    <n v="2841"/>
    <s v="Emp_1841"/>
    <x v="2"/>
    <x v="1"/>
    <x v="4"/>
    <x v="0"/>
    <n v="39"/>
    <n v="88960"/>
    <n v="28465"/>
    <x v="0"/>
    <n v="117425"/>
  </r>
  <r>
    <n v="2842"/>
    <s v="Emp_1842"/>
    <x v="2"/>
    <x v="1"/>
    <x v="4"/>
    <x v="3"/>
    <n v="40"/>
    <n v="33418"/>
    <n v="26033"/>
    <x v="0"/>
    <n v="59451"/>
  </r>
  <r>
    <n v="2843"/>
    <s v="Emp_1843"/>
    <x v="2"/>
    <x v="0"/>
    <x v="3"/>
    <x v="1"/>
    <n v="27"/>
    <n v="115422"/>
    <n v="11931"/>
    <x v="0"/>
    <n v="127353"/>
  </r>
  <r>
    <n v="2844"/>
    <s v="Emp_1844"/>
    <x v="5"/>
    <x v="0"/>
    <x v="3"/>
    <x v="1"/>
    <n v="37"/>
    <n v="108593"/>
    <n v="24808"/>
    <x v="1"/>
    <n v="133401"/>
  </r>
  <r>
    <n v="2845"/>
    <s v="Emp_1845"/>
    <x v="4"/>
    <x v="0"/>
    <x v="3"/>
    <x v="1"/>
    <n v="29"/>
    <n v="75184"/>
    <n v="6091"/>
    <x v="1"/>
    <n v="81275"/>
  </r>
  <r>
    <n v="2846"/>
    <s v="Emp_1846"/>
    <x v="0"/>
    <x v="0"/>
    <x v="2"/>
    <x v="1"/>
    <n v="39"/>
    <n v="24833"/>
    <n v="21363"/>
    <x v="0"/>
    <n v="46196"/>
  </r>
  <r>
    <n v="2847"/>
    <s v="Emp_1847"/>
    <x v="0"/>
    <x v="1"/>
    <x v="1"/>
    <x v="0"/>
    <n v="33"/>
    <n v="95430"/>
    <n v="29233"/>
    <x v="1"/>
    <n v="124663"/>
  </r>
  <r>
    <n v="2848"/>
    <s v="Emp_1848"/>
    <x v="1"/>
    <x v="1"/>
    <x v="4"/>
    <x v="3"/>
    <n v="31"/>
    <n v="61833"/>
    <n v="26038"/>
    <x v="1"/>
    <n v="87871"/>
  </r>
  <r>
    <n v="2849"/>
    <s v="Emp_1849"/>
    <x v="1"/>
    <x v="0"/>
    <x v="1"/>
    <x v="0"/>
    <n v="28"/>
    <n v="20565"/>
    <n v="5260"/>
    <x v="0"/>
    <n v="25825"/>
  </r>
  <r>
    <n v="2850"/>
    <s v="Emp_1850"/>
    <x v="1"/>
    <x v="0"/>
    <x v="1"/>
    <x v="0"/>
    <n v="22"/>
    <n v="60180"/>
    <n v="15456"/>
    <x v="0"/>
    <n v="75636"/>
  </r>
  <r>
    <n v="2851"/>
    <s v="Emp_1851"/>
    <x v="2"/>
    <x v="1"/>
    <x v="3"/>
    <x v="0"/>
    <n v="57"/>
    <n v="38402"/>
    <n v="27320"/>
    <x v="0"/>
    <n v="65722"/>
  </r>
  <r>
    <n v="2852"/>
    <s v="Emp_1852"/>
    <x v="0"/>
    <x v="0"/>
    <x v="2"/>
    <x v="1"/>
    <n v="42"/>
    <n v="62845"/>
    <n v="18435"/>
    <x v="0"/>
    <n v="81280"/>
  </r>
  <r>
    <n v="2853"/>
    <s v="Emp_1853"/>
    <x v="4"/>
    <x v="0"/>
    <x v="0"/>
    <x v="1"/>
    <n v="58"/>
    <n v="95851"/>
    <n v="14377"/>
    <x v="0"/>
    <n v="110228"/>
  </r>
  <r>
    <n v="2854"/>
    <s v="Emp_1854"/>
    <x v="2"/>
    <x v="0"/>
    <x v="2"/>
    <x v="1"/>
    <n v="45"/>
    <n v="32834"/>
    <n v="20813"/>
    <x v="1"/>
    <n v="53647"/>
  </r>
  <r>
    <n v="2855"/>
    <s v="Emp_1855"/>
    <x v="5"/>
    <x v="0"/>
    <x v="1"/>
    <x v="3"/>
    <n v="46"/>
    <n v="87850"/>
    <n v="25754"/>
    <x v="0"/>
    <n v="113604"/>
  </r>
  <r>
    <n v="2856"/>
    <s v="Emp_1856"/>
    <x v="1"/>
    <x v="0"/>
    <x v="2"/>
    <x v="2"/>
    <n v="28"/>
    <n v="57180"/>
    <n v="9301"/>
    <x v="0"/>
    <n v="66481"/>
  </r>
  <r>
    <n v="2857"/>
    <s v="Emp_1857"/>
    <x v="2"/>
    <x v="0"/>
    <x v="3"/>
    <x v="1"/>
    <n v="38"/>
    <n v="23883"/>
    <n v="12207"/>
    <x v="0"/>
    <n v="36090"/>
  </r>
  <r>
    <n v="2858"/>
    <s v="Emp_1858"/>
    <x v="2"/>
    <x v="1"/>
    <x v="0"/>
    <x v="3"/>
    <n v="50"/>
    <n v="69554.53"/>
    <n v="27203"/>
    <x v="0"/>
    <n v="96757.53"/>
  </r>
  <r>
    <n v="2859"/>
    <s v="Emp_1859"/>
    <x v="5"/>
    <x v="0"/>
    <x v="3"/>
    <x v="1"/>
    <n v="51"/>
    <n v="31695"/>
    <n v="21476"/>
    <x v="0"/>
    <n v="53171"/>
  </r>
  <r>
    <n v="2860"/>
    <s v="Emp_1860"/>
    <x v="3"/>
    <x v="0"/>
    <x v="0"/>
    <x v="1"/>
    <n v="28"/>
    <n v="43123"/>
    <n v="26545"/>
    <x v="0"/>
    <n v="69668"/>
  </r>
  <r>
    <n v="2861"/>
    <s v="Emp_1861"/>
    <x v="0"/>
    <x v="1"/>
    <x v="1"/>
    <x v="0"/>
    <n v="54"/>
    <n v="78481"/>
    <n v="29016"/>
    <x v="1"/>
    <n v="107497"/>
  </r>
  <r>
    <n v="2862"/>
    <s v="Emp_1862"/>
    <x v="4"/>
    <x v="1"/>
    <x v="0"/>
    <x v="0"/>
    <n v="28"/>
    <n v="93438"/>
    <n v="27592"/>
    <x v="0"/>
    <n v="121030"/>
  </r>
  <r>
    <n v="2863"/>
    <s v="Emp_1863"/>
    <x v="3"/>
    <x v="1"/>
    <x v="0"/>
    <x v="0"/>
    <n v="45"/>
    <n v="37573"/>
    <n v="13556"/>
    <x v="0"/>
    <n v="51129"/>
  </r>
  <r>
    <n v="2864"/>
    <s v="Emp_1864"/>
    <x v="1"/>
    <x v="0"/>
    <x v="0"/>
    <x v="3"/>
    <n v="32"/>
    <n v="114910"/>
    <n v="26300"/>
    <x v="0"/>
    <n v="141210"/>
  </r>
  <r>
    <n v="2865"/>
    <s v="Emp_1865"/>
    <x v="2"/>
    <x v="1"/>
    <x v="2"/>
    <x v="2"/>
    <n v="30"/>
    <n v="76494"/>
    <n v="18795"/>
    <x v="0"/>
    <n v="95289"/>
  </r>
  <r>
    <n v="2866"/>
    <s v="Emp_1866"/>
    <x v="5"/>
    <x v="0"/>
    <x v="2"/>
    <x v="2"/>
    <n v="33"/>
    <n v="32288"/>
    <n v="25102"/>
    <x v="1"/>
    <n v="57390"/>
  </r>
  <r>
    <n v="2867"/>
    <s v="Emp_1867"/>
    <x v="5"/>
    <x v="0"/>
    <x v="1"/>
    <x v="3"/>
    <n v="56"/>
    <n v="66978"/>
    <n v="11125"/>
    <x v="0"/>
    <n v="78103"/>
  </r>
  <r>
    <n v="2868"/>
    <s v="Emp_1868"/>
    <x v="0"/>
    <x v="0"/>
    <x v="0"/>
    <x v="1"/>
    <n v="25"/>
    <n v="92420"/>
    <n v="6924"/>
    <x v="0"/>
    <n v="99344"/>
  </r>
  <r>
    <n v="2869"/>
    <s v="Emp_1869"/>
    <x v="3"/>
    <x v="1"/>
    <x v="4"/>
    <x v="3"/>
    <n v="57"/>
    <n v="96095"/>
    <n v="24479"/>
    <x v="0"/>
    <n v="120574"/>
  </r>
  <r>
    <n v="2870"/>
    <s v="Emp_1870"/>
    <x v="0"/>
    <x v="1"/>
    <x v="1"/>
    <x v="1"/>
    <n v="49"/>
    <n v="74672"/>
    <n v="11683"/>
    <x v="1"/>
    <n v="86355"/>
  </r>
  <r>
    <n v="2871"/>
    <s v="Emp_1871"/>
    <x v="2"/>
    <x v="1"/>
    <x v="0"/>
    <x v="3"/>
    <n v="34"/>
    <n v="81821"/>
    <n v="26565"/>
    <x v="0"/>
    <n v="108386"/>
  </r>
  <r>
    <n v="2872"/>
    <s v="Emp_1872"/>
    <x v="0"/>
    <x v="1"/>
    <x v="0"/>
    <x v="3"/>
    <n v="44"/>
    <n v="103661"/>
    <n v="23922"/>
    <x v="0"/>
    <n v="127583"/>
  </r>
  <r>
    <n v="2873"/>
    <s v="Emp_1873"/>
    <x v="4"/>
    <x v="1"/>
    <x v="2"/>
    <x v="3"/>
    <n v="40"/>
    <n v="89224"/>
    <n v="23660"/>
    <x v="0"/>
    <n v="112884"/>
  </r>
  <r>
    <n v="2874"/>
    <s v="Emp_1874"/>
    <x v="5"/>
    <x v="0"/>
    <x v="1"/>
    <x v="2"/>
    <n v="58"/>
    <n v="109405"/>
    <n v="18331"/>
    <x v="0"/>
    <n v="127736"/>
  </r>
  <r>
    <n v="2875"/>
    <s v="Emp_1875"/>
    <x v="5"/>
    <x v="0"/>
    <x v="0"/>
    <x v="0"/>
    <n v="45"/>
    <n v="74796"/>
    <n v="29578"/>
    <x v="0"/>
    <n v="104374"/>
  </r>
  <r>
    <n v="2876"/>
    <s v="Emp_1876"/>
    <x v="1"/>
    <x v="0"/>
    <x v="0"/>
    <x v="3"/>
    <n v="37"/>
    <n v="64706"/>
    <n v="14945"/>
    <x v="0"/>
    <n v="79651"/>
  </r>
  <r>
    <n v="2877"/>
    <s v="Emp_1877"/>
    <x v="1"/>
    <x v="0"/>
    <x v="1"/>
    <x v="2"/>
    <n v="54"/>
    <n v="24023"/>
    <n v="22294"/>
    <x v="0"/>
    <n v="46317"/>
  </r>
  <r>
    <n v="2878"/>
    <s v="Emp_1878"/>
    <x v="2"/>
    <x v="1"/>
    <x v="4"/>
    <x v="0"/>
    <n v="33"/>
    <n v="102636"/>
    <n v="5306"/>
    <x v="0"/>
    <n v="107942"/>
  </r>
  <r>
    <n v="2879"/>
    <s v="Emp_1879"/>
    <x v="4"/>
    <x v="1"/>
    <x v="1"/>
    <x v="0"/>
    <n v="55"/>
    <n v="56735"/>
    <n v="27959"/>
    <x v="0"/>
    <n v="84694"/>
  </r>
  <r>
    <n v="2880"/>
    <s v="Emp_1880"/>
    <x v="3"/>
    <x v="0"/>
    <x v="1"/>
    <x v="3"/>
    <n v="28"/>
    <n v="92959"/>
    <n v="9231"/>
    <x v="0"/>
    <n v="102190"/>
  </r>
  <r>
    <n v="2881"/>
    <s v="Emp_1881"/>
    <x v="0"/>
    <x v="1"/>
    <x v="4"/>
    <x v="1"/>
    <n v="32"/>
    <n v="59218"/>
    <n v="11028"/>
    <x v="0"/>
    <n v="70246"/>
  </r>
  <r>
    <n v="2882"/>
    <s v="Emp_1882"/>
    <x v="2"/>
    <x v="1"/>
    <x v="1"/>
    <x v="1"/>
    <n v="52"/>
    <n v="32213"/>
    <n v="17207"/>
    <x v="0"/>
    <n v="49420"/>
  </r>
  <r>
    <n v="2883"/>
    <s v="Emp_1883"/>
    <x v="1"/>
    <x v="0"/>
    <x v="0"/>
    <x v="1"/>
    <n v="50"/>
    <n v="118694"/>
    <n v="11658"/>
    <x v="0"/>
    <n v="130352"/>
  </r>
  <r>
    <n v="2884"/>
    <s v="Emp_1884"/>
    <x v="0"/>
    <x v="0"/>
    <x v="1"/>
    <x v="3"/>
    <n v="34"/>
    <n v="48460"/>
    <n v="11336"/>
    <x v="0"/>
    <n v="59796"/>
  </r>
  <r>
    <n v="2885"/>
    <s v="Emp_1885"/>
    <x v="1"/>
    <x v="1"/>
    <x v="4"/>
    <x v="1"/>
    <n v="52"/>
    <n v="84680"/>
    <n v="18896"/>
    <x v="0"/>
    <n v="103576"/>
  </r>
  <r>
    <n v="2886"/>
    <s v="Emp_1886"/>
    <x v="0"/>
    <x v="1"/>
    <x v="3"/>
    <x v="2"/>
    <n v="23"/>
    <n v="51017"/>
    <n v="14630"/>
    <x v="0"/>
    <n v="65647"/>
  </r>
  <r>
    <n v="2887"/>
    <s v="Emp_1887"/>
    <x v="3"/>
    <x v="0"/>
    <x v="1"/>
    <x v="2"/>
    <n v="36"/>
    <n v="118536"/>
    <n v="22256"/>
    <x v="1"/>
    <n v="140792"/>
  </r>
  <r>
    <n v="2888"/>
    <s v="Emp_1888"/>
    <x v="2"/>
    <x v="0"/>
    <x v="2"/>
    <x v="2"/>
    <n v="32"/>
    <n v="112038"/>
    <n v="6141"/>
    <x v="1"/>
    <n v="118179"/>
  </r>
  <r>
    <n v="2889"/>
    <s v="Emp_1889"/>
    <x v="0"/>
    <x v="0"/>
    <x v="0"/>
    <x v="2"/>
    <n v="55"/>
    <n v="50990"/>
    <n v="22049"/>
    <x v="0"/>
    <n v="73039"/>
  </r>
  <r>
    <n v="2890"/>
    <s v="Emp_1890"/>
    <x v="4"/>
    <x v="1"/>
    <x v="0"/>
    <x v="0"/>
    <n v="25"/>
    <n v="39515"/>
    <n v="13400"/>
    <x v="1"/>
    <n v="52915"/>
  </r>
  <r>
    <n v="2891"/>
    <s v="Emp_1891"/>
    <x v="5"/>
    <x v="0"/>
    <x v="2"/>
    <x v="2"/>
    <n v="32"/>
    <n v="49991"/>
    <n v="5951"/>
    <x v="0"/>
    <n v="55942"/>
  </r>
  <r>
    <n v="2892"/>
    <s v="Emp_1892"/>
    <x v="4"/>
    <x v="2"/>
    <x v="2"/>
    <x v="1"/>
    <n v="50"/>
    <n v="27634"/>
    <n v="14249"/>
    <x v="1"/>
    <n v="41883"/>
  </r>
  <r>
    <n v="2893"/>
    <s v="Emp_1893"/>
    <x v="4"/>
    <x v="2"/>
    <x v="1"/>
    <x v="3"/>
    <n v="23"/>
    <n v="97034"/>
    <n v="17936"/>
    <x v="1"/>
    <n v="114970"/>
  </r>
  <r>
    <n v="2894"/>
    <s v="Emp_1894"/>
    <x v="5"/>
    <x v="1"/>
    <x v="2"/>
    <x v="1"/>
    <n v="37"/>
    <n v="96452"/>
    <n v="19455"/>
    <x v="1"/>
    <n v="115907"/>
  </r>
  <r>
    <n v="2895"/>
    <s v="Emp_1895"/>
    <x v="4"/>
    <x v="1"/>
    <x v="3"/>
    <x v="2"/>
    <n v="34"/>
    <n v="49377"/>
    <n v="9722"/>
    <x v="0"/>
    <n v="59099"/>
  </r>
  <r>
    <n v="2896"/>
    <s v="Emp_1896"/>
    <x v="0"/>
    <x v="1"/>
    <x v="4"/>
    <x v="0"/>
    <n v="58"/>
    <n v="53001"/>
    <n v="17812"/>
    <x v="0"/>
    <n v="70813"/>
  </r>
  <r>
    <n v="2897"/>
    <s v="Emp_1897"/>
    <x v="0"/>
    <x v="1"/>
    <x v="2"/>
    <x v="2"/>
    <n v="38"/>
    <n v="21391"/>
    <n v="9008"/>
    <x v="1"/>
    <n v="30399"/>
  </r>
  <r>
    <n v="2898"/>
    <s v="Emp_1898"/>
    <x v="0"/>
    <x v="0"/>
    <x v="2"/>
    <x v="3"/>
    <n v="42"/>
    <n v="85206"/>
    <n v="15060"/>
    <x v="0"/>
    <n v="100266"/>
  </r>
  <r>
    <n v="2899"/>
    <s v="Emp_1899"/>
    <x v="5"/>
    <x v="0"/>
    <x v="3"/>
    <x v="1"/>
    <n v="40"/>
    <n v="62215"/>
    <n v="18056"/>
    <x v="0"/>
    <n v="80271"/>
  </r>
  <r>
    <n v="2900"/>
    <s v="Emp_1900"/>
    <x v="4"/>
    <x v="1"/>
    <x v="0"/>
    <x v="3"/>
    <n v="28"/>
    <n v="99720"/>
    <n v="11655"/>
    <x v="0"/>
    <n v="111375"/>
  </r>
  <r>
    <n v="2901"/>
    <s v="Emp_1901"/>
    <x v="5"/>
    <x v="1"/>
    <x v="0"/>
    <x v="3"/>
    <n v="59"/>
    <n v="47114"/>
    <n v="27574"/>
    <x v="0"/>
    <n v="74688"/>
  </r>
  <r>
    <n v="2902"/>
    <s v="Emp_1902"/>
    <x v="0"/>
    <x v="1"/>
    <x v="1"/>
    <x v="3"/>
    <n v="29"/>
    <n v="31882"/>
    <n v="22155"/>
    <x v="1"/>
    <n v="54037"/>
  </r>
  <r>
    <n v="2903"/>
    <s v="Emp_1903"/>
    <x v="4"/>
    <x v="2"/>
    <x v="3"/>
    <x v="1"/>
    <n v="34"/>
    <n v="37273"/>
    <n v="18027"/>
    <x v="0"/>
    <n v="55300"/>
  </r>
  <r>
    <n v="2904"/>
    <s v="Emp_1904"/>
    <x v="4"/>
    <x v="1"/>
    <x v="4"/>
    <x v="2"/>
    <n v="58"/>
    <n v="65647"/>
    <n v="9030"/>
    <x v="1"/>
    <n v="74677"/>
  </r>
  <r>
    <n v="2905"/>
    <s v="Emp_1905"/>
    <x v="1"/>
    <x v="0"/>
    <x v="4"/>
    <x v="3"/>
    <n v="23"/>
    <n v="102665"/>
    <n v="29243"/>
    <x v="0"/>
    <n v="131908"/>
  </r>
  <r>
    <n v="2906"/>
    <s v="Emp_1906"/>
    <x v="1"/>
    <x v="0"/>
    <x v="3"/>
    <x v="1"/>
    <n v="32"/>
    <n v="84892"/>
    <n v="5521"/>
    <x v="1"/>
    <n v="90413"/>
  </r>
  <r>
    <n v="2907"/>
    <s v="Emp_1907"/>
    <x v="3"/>
    <x v="0"/>
    <x v="4"/>
    <x v="0"/>
    <n v="45"/>
    <n v="62679"/>
    <n v="24739"/>
    <x v="0"/>
    <n v="87418"/>
  </r>
  <r>
    <n v="2908"/>
    <s v="Emp_1908"/>
    <x v="2"/>
    <x v="0"/>
    <x v="0"/>
    <x v="1"/>
    <n v="27"/>
    <n v="20427"/>
    <n v="6400"/>
    <x v="0"/>
    <n v="26827"/>
  </r>
  <r>
    <n v="2909"/>
    <s v="Emp_1909"/>
    <x v="1"/>
    <x v="1"/>
    <x v="4"/>
    <x v="0"/>
    <n v="47"/>
    <n v="116952"/>
    <n v="16930"/>
    <x v="1"/>
    <n v="133882"/>
  </r>
  <r>
    <n v="2910"/>
    <s v="Emp_1910"/>
    <x v="5"/>
    <x v="0"/>
    <x v="4"/>
    <x v="1"/>
    <n v="28"/>
    <n v="86267"/>
    <n v="8723"/>
    <x v="0"/>
    <n v="94990"/>
  </r>
  <r>
    <n v="2911"/>
    <s v="Emp_1911"/>
    <x v="1"/>
    <x v="1"/>
    <x v="3"/>
    <x v="2"/>
    <n v="40"/>
    <n v="20799"/>
    <n v="11579"/>
    <x v="0"/>
    <n v="32378"/>
  </r>
  <r>
    <n v="2912"/>
    <s v="Emp_1912"/>
    <x v="3"/>
    <x v="1"/>
    <x v="3"/>
    <x v="3"/>
    <n v="27"/>
    <n v="75659"/>
    <n v="24631"/>
    <x v="0"/>
    <n v="100290"/>
  </r>
  <r>
    <n v="2913"/>
    <s v="Emp_1913"/>
    <x v="6"/>
    <x v="1"/>
    <x v="4"/>
    <x v="2"/>
    <n v="50"/>
    <n v="114409"/>
    <n v="23242"/>
    <x v="0"/>
    <n v="137651"/>
  </r>
  <r>
    <n v="2914"/>
    <s v="Emp_1914"/>
    <x v="3"/>
    <x v="0"/>
    <x v="2"/>
    <x v="1"/>
    <n v="23"/>
    <n v="27025"/>
    <n v="9781"/>
    <x v="1"/>
    <n v="36806"/>
  </r>
  <r>
    <n v="2915"/>
    <s v="Emp_1915"/>
    <x v="4"/>
    <x v="1"/>
    <x v="3"/>
    <x v="3"/>
    <n v="40"/>
    <n v="34481"/>
    <n v="25448"/>
    <x v="0"/>
    <n v="59929"/>
  </r>
  <r>
    <n v="2916"/>
    <s v="Emp_1916"/>
    <x v="4"/>
    <x v="0"/>
    <x v="1"/>
    <x v="0"/>
    <n v="25"/>
    <n v="45411"/>
    <n v="17873"/>
    <x v="0"/>
    <n v="63284"/>
  </r>
  <r>
    <n v="2917"/>
    <s v="Emp_1917"/>
    <x v="2"/>
    <x v="0"/>
    <x v="1"/>
    <x v="1"/>
    <n v="27"/>
    <n v="116894"/>
    <n v="23782"/>
    <x v="0"/>
    <n v="140676"/>
  </r>
  <r>
    <n v="2918"/>
    <s v="Emp_1918"/>
    <x v="1"/>
    <x v="1"/>
    <x v="0"/>
    <x v="3"/>
    <n v="58"/>
    <n v="34961"/>
    <n v="21526"/>
    <x v="0"/>
    <n v="56487"/>
  </r>
  <r>
    <n v="2919"/>
    <s v="Emp_1919"/>
    <x v="5"/>
    <x v="1"/>
    <x v="4"/>
    <x v="0"/>
    <n v="49"/>
    <n v="41767"/>
    <n v="26446"/>
    <x v="0"/>
    <n v="68213"/>
  </r>
  <r>
    <n v="2920"/>
    <s v="Emp_1920"/>
    <x v="5"/>
    <x v="1"/>
    <x v="2"/>
    <x v="0"/>
    <n v="51"/>
    <n v="71690"/>
    <n v="16043"/>
    <x v="0"/>
    <n v="87733"/>
  </r>
  <r>
    <n v="2921"/>
    <s v="Emp_1921"/>
    <x v="0"/>
    <x v="0"/>
    <x v="0"/>
    <x v="2"/>
    <n v="28"/>
    <n v="72870"/>
    <n v="24853"/>
    <x v="0"/>
    <n v="97723"/>
  </r>
  <r>
    <n v="2922"/>
    <s v="Emp_1922"/>
    <x v="4"/>
    <x v="1"/>
    <x v="4"/>
    <x v="1"/>
    <n v="30"/>
    <n v="56135"/>
    <n v="21375"/>
    <x v="0"/>
    <n v="77510"/>
  </r>
  <r>
    <n v="2923"/>
    <s v="Emp_1923"/>
    <x v="5"/>
    <x v="0"/>
    <x v="3"/>
    <x v="0"/>
    <n v="46"/>
    <n v="84514"/>
    <n v="25079"/>
    <x v="0"/>
    <n v="109593"/>
  </r>
  <r>
    <n v="2924"/>
    <s v="Emp_1924"/>
    <x v="2"/>
    <x v="1"/>
    <x v="1"/>
    <x v="3"/>
    <n v="54"/>
    <n v="106928"/>
    <n v="22101"/>
    <x v="0"/>
    <n v="129029"/>
  </r>
  <r>
    <n v="2925"/>
    <s v="Emp_1925"/>
    <x v="4"/>
    <x v="1"/>
    <x v="2"/>
    <x v="0"/>
    <n v="22"/>
    <n v="98798"/>
    <n v="5642"/>
    <x v="1"/>
    <n v="104440"/>
  </r>
  <r>
    <n v="2926"/>
    <s v="Emp_1926"/>
    <x v="6"/>
    <x v="0"/>
    <x v="1"/>
    <x v="0"/>
    <n v="27"/>
    <n v="90765"/>
    <n v="23932"/>
    <x v="0"/>
    <n v="114697"/>
  </r>
  <r>
    <n v="2927"/>
    <s v="Emp_1927"/>
    <x v="5"/>
    <x v="0"/>
    <x v="3"/>
    <x v="2"/>
    <n v="39"/>
    <n v="43772"/>
    <n v="16885"/>
    <x v="1"/>
    <n v="60657"/>
  </r>
  <r>
    <n v="2928"/>
    <s v="Emp_1928"/>
    <x v="5"/>
    <x v="0"/>
    <x v="4"/>
    <x v="2"/>
    <n v="31"/>
    <n v="38799"/>
    <n v="29945"/>
    <x v="0"/>
    <n v="68744"/>
  </r>
  <r>
    <n v="2929"/>
    <s v="Emp_1929"/>
    <x v="0"/>
    <x v="0"/>
    <x v="3"/>
    <x v="3"/>
    <n v="49"/>
    <n v="43555"/>
    <n v="25034"/>
    <x v="0"/>
    <n v="68589"/>
  </r>
  <r>
    <n v="2930"/>
    <s v="Emp_1930"/>
    <x v="5"/>
    <x v="0"/>
    <x v="3"/>
    <x v="2"/>
    <n v="32"/>
    <n v="69554.53"/>
    <n v="12549"/>
    <x v="0"/>
    <n v="82103.53"/>
  </r>
  <r>
    <n v="2931"/>
    <s v="Emp_1931"/>
    <x v="4"/>
    <x v="0"/>
    <x v="1"/>
    <x v="0"/>
    <n v="54"/>
    <n v="39333"/>
    <n v="18397"/>
    <x v="0"/>
    <n v="57730"/>
  </r>
  <r>
    <n v="2932"/>
    <s v="Emp_1932"/>
    <x v="4"/>
    <x v="1"/>
    <x v="2"/>
    <x v="0"/>
    <n v="22"/>
    <n v="24261"/>
    <n v="20074"/>
    <x v="0"/>
    <n v="44335"/>
  </r>
  <r>
    <n v="2933"/>
    <s v="Emp_1933"/>
    <x v="4"/>
    <x v="1"/>
    <x v="3"/>
    <x v="2"/>
    <n v="34"/>
    <n v="89002"/>
    <n v="18771"/>
    <x v="0"/>
    <n v="107773"/>
  </r>
  <r>
    <n v="2934"/>
    <s v="Emp_1934"/>
    <x v="0"/>
    <x v="0"/>
    <x v="1"/>
    <x v="0"/>
    <n v="58"/>
    <n v="66553"/>
    <n v="5949"/>
    <x v="0"/>
    <n v="72502"/>
  </r>
  <r>
    <n v="2935"/>
    <s v="Emp_1935"/>
    <x v="0"/>
    <x v="1"/>
    <x v="2"/>
    <x v="0"/>
    <n v="41"/>
    <n v="23088"/>
    <n v="26828"/>
    <x v="0"/>
    <n v="49916"/>
  </r>
  <r>
    <n v="2936"/>
    <s v="Emp_1936"/>
    <x v="5"/>
    <x v="0"/>
    <x v="4"/>
    <x v="3"/>
    <n v="22"/>
    <n v="65783"/>
    <n v="21905"/>
    <x v="0"/>
    <n v="87688"/>
  </r>
  <r>
    <n v="2937"/>
    <s v="Emp_1937"/>
    <x v="3"/>
    <x v="1"/>
    <x v="4"/>
    <x v="2"/>
    <n v="24"/>
    <n v="21115"/>
    <n v="28016"/>
    <x v="0"/>
    <n v="49131"/>
  </r>
  <r>
    <n v="2938"/>
    <s v="Emp_1938"/>
    <x v="3"/>
    <x v="1"/>
    <x v="0"/>
    <x v="0"/>
    <n v="39"/>
    <n v="90114"/>
    <n v="27432"/>
    <x v="0"/>
    <n v="117546"/>
  </r>
  <r>
    <n v="2939"/>
    <s v="Emp_1939"/>
    <x v="0"/>
    <x v="0"/>
    <x v="1"/>
    <x v="2"/>
    <n v="35"/>
    <n v="88126"/>
    <n v="19732"/>
    <x v="1"/>
    <n v="107858"/>
  </r>
  <r>
    <n v="2940"/>
    <s v="Emp_1940"/>
    <x v="5"/>
    <x v="0"/>
    <x v="2"/>
    <x v="3"/>
    <n v="52"/>
    <n v="92908"/>
    <n v="21738"/>
    <x v="0"/>
    <n v="114646"/>
  </r>
  <r>
    <n v="2941"/>
    <s v="Emp_1941"/>
    <x v="3"/>
    <x v="0"/>
    <x v="3"/>
    <x v="2"/>
    <n v="48"/>
    <n v="89109"/>
    <n v="22866"/>
    <x v="1"/>
    <n v="111975"/>
  </r>
  <r>
    <n v="2942"/>
    <s v="Emp_1942"/>
    <x v="5"/>
    <x v="1"/>
    <x v="4"/>
    <x v="0"/>
    <n v="38"/>
    <n v="22978"/>
    <n v="14839"/>
    <x v="0"/>
    <n v="37817"/>
  </r>
  <r>
    <n v="2943"/>
    <s v="Emp_1943"/>
    <x v="5"/>
    <x v="0"/>
    <x v="2"/>
    <x v="2"/>
    <n v="50"/>
    <n v="29422"/>
    <n v="17823"/>
    <x v="0"/>
    <n v="47245"/>
  </r>
  <r>
    <n v="2944"/>
    <s v="Emp_1944"/>
    <x v="5"/>
    <x v="1"/>
    <x v="1"/>
    <x v="0"/>
    <n v="57"/>
    <n v="63626"/>
    <n v="28378"/>
    <x v="0"/>
    <n v="92004"/>
  </r>
  <r>
    <n v="2945"/>
    <s v="Emp_1945"/>
    <x v="1"/>
    <x v="0"/>
    <x v="0"/>
    <x v="0"/>
    <n v="58"/>
    <n v="109233"/>
    <n v="23599"/>
    <x v="0"/>
    <n v="132832"/>
  </r>
  <r>
    <n v="2946"/>
    <s v="Emp_1946"/>
    <x v="4"/>
    <x v="1"/>
    <x v="4"/>
    <x v="0"/>
    <n v="47"/>
    <n v="76174"/>
    <n v="26100"/>
    <x v="0"/>
    <n v="102274"/>
  </r>
  <r>
    <n v="2947"/>
    <s v="Emp_1947"/>
    <x v="5"/>
    <x v="1"/>
    <x v="2"/>
    <x v="3"/>
    <n v="38"/>
    <n v="116356"/>
    <n v="27205"/>
    <x v="0"/>
    <n v="143561"/>
  </r>
  <r>
    <n v="2948"/>
    <s v="Emp_1948"/>
    <x v="1"/>
    <x v="0"/>
    <x v="2"/>
    <x v="2"/>
    <n v="43"/>
    <n v="69554.53"/>
    <n v="23921"/>
    <x v="0"/>
    <n v="93475.53"/>
  </r>
  <r>
    <n v="2949"/>
    <s v="Emp_1949"/>
    <x v="0"/>
    <x v="1"/>
    <x v="2"/>
    <x v="3"/>
    <n v="46"/>
    <n v="90461"/>
    <n v="19690"/>
    <x v="0"/>
    <n v="110151"/>
  </r>
  <r>
    <n v="2950"/>
    <s v="Emp_1950"/>
    <x v="3"/>
    <x v="1"/>
    <x v="1"/>
    <x v="2"/>
    <n v="23"/>
    <n v="77199"/>
    <n v="11339"/>
    <x v="0"/>
    <n v="88538"/>
  </r>
  <r>
    <n v="2951"/>
    <s v="Emp_1951"/>
    <x v="4"/>
    <x v="0"/>
    <x v="1"/>
    <x v="3"/>
    <n v="43"/>
    <n v="49430"/>
    <n v="15956"/>
    <x v="1"/>
    <n v="65386"/>
  </r>
  <r>
    <n v="2952"/>
    <s v="Emp_1952"/>
    <x v="3"/>
    <x v="1"/>
    <x v="1"/>
    <x v="1"/>
    <n v="26"/>
    <n v="48834"/>
    <n v="26303"/>
    <x v="0"/>
    <n v="75137"/>
  </r>
  <r>
    <n v="2953"/>
    <s v="Emp_1953"/>
    <x v="4"/>
    <x v="0"/>
    <x v="3"/>
    <x v="0"/>
    <n v="25"/>
    <n v="44435"/>
    <n v="28459"/>
    <x v="0"/>
    <n v="72894"/>
  </r>
  <r>
    <n v="2954"/>
    <s v="Emp_1954"/>
    <x v="3"/>
    <x v="0"/>
    <x v="2"/>
    <x v="0"/>
    <n v="57"/>
    <n v="107212"/>
    <n v="8765"/>
    <x v="1"/>
    <n v="115977"/>
  </r>
  <r>
    <n v="2955"/>
    <s v="Emp_1955"/>
    <x v="4"/>
    <x v="0"/>
    <x v="4"/>
    <x v="3"/>
    <n v="27"/>
    <n v="75797"/>
    <n v="28466"/>
    <x v="0"/>
    <n v="104263"/>
  </r>
  <r>
    <n v="2956"/>
    <s v="Emp_1956"/>
    <x v="3"/>
    <x v="0"/>
    <x v="1"/>
    <x v="1"/>
    <n v="42"/>
    <n v="63554"/>
    <n v="7827"/>
    <x v="0"/>
    <n v="71381"/>
  </r>
  <r>
    <n v="2957"/>
    <s v="Emp_1957"/>
    <x v="3"/>
    <x v="1"/>
    <x v="1"/>
    <x v="0"/>
    <n v="34"/>
    <n v="74555"/>
    <n v="7058"/>
    <x v="1"/>
    <n v="81613"/>
  </r>
  <r>
    <n v="2958"/>
    <s v="Emp_1958"/>
    <x v="3"/>
    <x v="1"/>
    <x v="2"/>
    <x v="2"/>
    <n v="58"/>
    <n v="105350"/>
    <n v="29133"/>
    <x v="1"/>
    <n v="134483"/>
  </r>
  <r>
    <n v="2959"/>
    <s v="Emp_1959"/>
    <x v="6"/>
    <x v="1"/>
    <x v="1"/>
    <x v="3"/>
    <n v="46"/>
    <n v="34716"/>
    <n v="16519"/>
    <x v="0"/>
    <n v="51235"/>
  </r>
  <r>
    <n v="2960"/>
    <s v="Emp_1960"/>
    <x v="5"/>
    <x v="0"/>
    <x v="3"/>
    <x v="0"/>
    <n v="47"/>
    <n v="80261"/>
    <n v="5730"/>
    <x v="0"/>
    <n v="85991"/>
  </r>
  <r>
    <n v="2961"/>
    <s v="Emp_1961"/>
    <x v="5"/>
    <x v="1"/>
    <x v="3"/>
    <x v="0"/>
    <n v="41"/>
    <n v="47528"/>
    <n v="6832"/>
    <x v="0"/>
    <n v="54360"/>
  </r>
  <r>
    <n v="2962"/>
    <s v="Emp_1962"/>
    <x v="2"/>
    <x v="1"/>
    <x v="1"/>
    <x v="3"/>
    <n v="54"/>
    <n v="21995"/>
    <n v="13600"/>
    <x v="1"/>
    <n v="35595"/>
  </r>
  <r>
    <n v="2963"/>
    <s v="Emp_1963"/>
    <x v="1"/>
    <x v="0"/>
    <x v="2"/>
    <x v="3"/>
    <n v="35"/>
    <n v="42414"/>
    <n v="27889"/>
    <x v="1"/>
    <n v="70303"/>
  </r>
  <r>
    <n v="2964"/>
    <s v="Emp_1964"/>
    <x v="2"/>
    <x v="0"/>
    <x v="2"/>
    <x v="2"/>
    <n v="57"/>
    <n v="33844"/>
    <n v="20618"/>
    <x v="0"/>
    <n v="54462"/>
  </r>
  <r>
    <n v="2965"/>
    <s v="Emp_1965"/>
    <x v="2"/>
    <x v="1"/>
    <x v="2"/>
    <x v="2"/>
    <n v="38"/>
    <n v="56659"/>
    <n v="12170"/>
    <x v="0"/>
    <n v="68829"/>
  </r>
  <r>
    <n v="2966"/>
    <s v="Emp_1966"/>
    <x v="4"/>
    <x v="0"/>
    <x v="0"/>
    <x v="0"/>
    <n v="42"/>
    <n v="35522"/>
    <n v="9179"/>
    <x v="0"/>
    <n v="44701"/>
  </r>
  <r>
    <n v="2967"/>
    <s v="Emp_1967"/>
    <x v="5"/>
    <x v="0"/>
    <x v="1"/>
    <x v="0"/>
    <n v="37"/>
    <n v="94034"/>
    <n v="11299"/>
    <x v="0"/>
    <n v="105333"/>
  </r>
  <r>
    <n v="2968"/>
    <s v="Emp_1968"/>
    <x v="4"/>
    <x v="0"/>
    <x v="2"/>
    <x v="3"/>
    <n v="37"/>
    <n v="62322"/>
    <n v="12830"/>
    <x v="1"/>
    <n v="75152"/>
  </r>
  <r>
    <n v="2969"/>
    <s v="Emp_1969"/>
    <x v="5"/>
    <x v="0"/>
    <x v="3"/>
    <x v="0"/>
    <n v="41"/>
    <n v="87638"/>
    <n v="16439"/>
    <x v="0"/>
    <n v="104077"/>
  </r>
  <r>
    <n v="2970"/>
    <s v="Emp_1970"/>
    <x v="5"/>
    <x v="1"/>
    <x v="4"/>
    <x v="0"/>
    <n v="50"/>
    <n v="28524"/>
    <n v="9802"/>
    <x v="0"/>
    <n v="38326"/>
  </r>
  <r>
    <n v="2971"/>
    <s v="Emp_1971"/>
    <x v="3"/>
    <x v="0"/>
    <x v="4"/>
    <x v="3"/>
    <n v="49"/>
    <n v="50846"/>
    <n v="27441"/>
    <x v="0"/>
    <n v="78287"/>
  </r>
  <r>
    <n v="2972"/>
    <s v="Emp_1972"/>
    <x v="0"/>
    <x v="0"/>
    <x v="2"/>
    <x v="0"/>
    <n v="29"/>
    <n v="93643"/>
    <n v="11615"/>
    <x v="0"/>
    <n v="105258"/>
  </r>
  <r>
    <n v="2973"/>
    <s v="Emp_1973"/>
    <x v="3"/>
    <x v="0"/>
    <x v="4"/>
    <x v="0"/>
    <n v="45"/>
    <n v="80096"/>
    <n v="11762"/>
    <x v="2"/>
    <n v="91858"/>
  </r>
  <r>
    <n v="2974"/>
    <s v="Emp_1974"/>
    <x v="0"/>
    <x v="0"/>
    <x v="4"/>
    <x v="1"/>
    <n v="24"/>
    <n v="103804"/>
    <n v="10543"/>
    <x v="1"/>
    <n v="114347"/>
  </r>
  <r>
    <n v="2975"/>
    <s v="Emp_1975"/>
    <x v="4"/>
    <x v="0"/>
    <x v="0"/>
    <x v="2"/>
    <n v="46"/>
    <n v="67703"/>
    <n v="29709"/>
    <x v="0"/>
    <n v="97412"/>
  </r>
  <r>
    <n v="2976"/>
    <s v="Emp_1976"/>
    <x v="0"/>
    <x v="0"/>
    <x v="3"/>
    <x v="3"/>
    <n v="40"/>
    <n v="44399"/>
    <n v="9883"/>
    <x v="0"/>
    <n v="54282"/>
  </r>
  <r>
    <n v="2977"/>
    <s v="Emp_1977"/>
    <x v="4"/>
    <x v="0"/>
    <x v="3"/>
    <x v="1"/>
    <n v="54"/>
    <n v="95160"/>
    <n v="28434"/>
    <x v="0"/>
    <n v="123594"/>
  </r>
  <r>
    <n v="2978"/>
    <s v="Emp_1978"/>
    <x v="2"/>
    <x v="0"/>
    <x v="0"/>
    <x v="2"/>
    <n v="23"/>
    <n v="112662"/>
    <n v="26343"/>
    <x v="0"/>
    <n v="139005"/>
  </r>
  <r>
    <n v="2979"/>
    <s v="Emp_1979"/>
    <x v="2"/>
    <x v="1"/>
    <x v="0"/>
    <x v="2"/>
    <n v="36"/>
    <n v="108667"/>
    <n v="20739"/>
    <x v="0"/>
    <n v="129406"/>
  </r>
  <r>
    <n v="2980"/>
    <s v="Emp_1980"/>
    <x v="0"/>
    <x v="0"/>
    <x v="4"/>
    <x v="2"/>
    <n v="43"/>
    <n v="68591"/>
    <n v="5666"/>
    <x v="0"/>
    <n v="74257"/>
  </r>
  <r>
    <n v="2981"/>
    <s v="Emp_1981"/>
    <x v="0"/>
    <x v="1"/>
    <x v="1"/>
    <x v="1"/>
    <n v="31"/>
    <n v="40714"/>
    <n v="5276"/>
    <x v="1"/>
    <n v="45990"/>
  </r>
  <r>
    <n v="2982"/>
    <s v="Emp_1982"/>
    <x v="4"/>
    <x v="0"/>
    <x v="4"/>
    <x v="1"/>
    <n v="39"/>
    <n v="69554.53"/>
    <n v="19063"/>
    <x v="0"/>
    <n v="88617.53"/>
  </r>
  <r>
    <n v="2983"/>
    <s v="Emp_1983"/>
    <x v="3"/>
    <x v="0"/>
    <x v="0"/>
    <x v="2"/>
    <n v="43"/>
    <n v="104106"/>
    <n v="5881"/>
    <x v="0"/>
    <n v="109987"/>
  </r>
  <r>
    <n v="2984"/>
    <s v="Emp_1984"/>
    <x v="4"/>
    <x v="0"/>
    <x v="3"/>
    <x v="0"/>
    <n v="48"/>
    <n v="98018"/>
    <n v="7060"/>
    <x v="0"/>
    <n v="105078"/>
  </r>
  <r>
    <n v="2985"/>
    <s v="Emp_1985"/>
    <x v="3"/>
    <x v="1"/>
    <x v="4"/>
    <x v="0"/>
    <n v="34"/>
    <n v="119854"/>
    <n v="19677"/>
    <x v="0"/>
    <n v="139531"/>
  </r>
  <r>
    <n v="2986"/>
    <s v="Emp_1986"/>
    <x v="2"/>
    <x v="1"/>
    <x v="1"/>
    <x v="1"/>
    <n v="54"/>
    <n v="79136"/>
    <n v="23466"/>
    <x v="1"/>
    <n v="102602"/>
  </r>
  <r>
    <n v="2987"/>
    <s v="Emp_1987"/>
    <x v="5"/>
    <x v="2"/>
    <x v="4"/>
    <x v="1"/>
    <n v="26"/>
    <n v="53414"/>
    <n v="11702"/>
    <x v="0"/>
    <n v="65116"/>
  </r>
  <r>
    <n v="2988"/>
    <s v="Emp_1988"/>
    <x v="0"/>
    <x v="0"/>
    <x v="2"/>
    <x v="1"/>
    <n v="47"/>
    <n v="106576"/>
    <n v="14429"/>
    <x v="0"/>
    <n v="121005"/>
  </r>
  <r>
    <n v="2989"/>
    <s v="Emp_1989"/>
    <x v="3"/>
    <x v="1"/>
    <x v="4"/>
    <x v="2"/>
    <n v="34"/>
    <n v="98943"/>
    <n v="20853"/>
    <x v="0"/>
    <n v="119796"/>
  </r>
  <r>
    <n v="2990"/>
    <s v="Emp_1990"/>
    <x v="4"/>
    <x v="1"/>
    <x v="0"/>
    <x v="0"/>
    <n v="48"/>
    <n v="65468"/>
    <n v="5158"/>
    <x v="0"/>
    <n v="70626"/>
  </r>
  <r>
    <n v="2991"/>
    <s v="Emp_1991"/>
    <x v="2"/>
    <x v="0"/>
    <x v="3"/>
    <x v="1"/>
    <n v="35"/>
    <n v="118841"/>
    <n v="20996"/>
    <x v="0"/>
    <n v="139837"/>
  </r>
  <r>
    <n v="2992"/>
    <s v="Emp_1992"/>
    <x v="3"/>
    <x v="1"/>
    <x v="3"/>
    <x v="1"/>
    <n v="45"/>
    <n v="99702"/>
    <n v="10229"/>
    <x v="0"/>
    <n v="109931"/>
  </r>
  <r>
    <n v="2993"/>
    <s v="Emp_1993"/>
    <x v="4"/>
    <x v="1"/>
    <x v="0"/>
    <x v="3"/>
    <n v="24"/>
    <n v="92108"/>
    <n v="12956"/>
    <x v="0"/>
    <n v="105064"/>
  </r>
  <r>
    <n v="2994"/>
    <s v="Emp_1994"/>
    <x v="0"/>
    <x v="1"/>
    <x v="2"/>
    <x v="2"/>
    <n v="51"/>
    <n v="118538"/>
    <n v="28898"/>
    <x v="0"/>
    <n v="147436"/>
  </r>
  <r>
    <n v="2995"/>
    <s v="Emp_1995"/>
    <x v="0"/>
    <x v="0"/>
    <x v="0"/>
    <x v="3"/>
    <n v="56"/>
    <n v="112508"/>
    <n v="29187"/>
    <x v="0"/>
    <n v="141695"/>
  </r>
  <r>
    <n v="2996"/>
    <s v="Emp_1996"/>
    <x v="1"/>
    <x v="0"/>
    <x v="4"/>
    <x v="0"/>
    <n v="35"/>
    <n v="66835"/>
    <n v="17566"/>
    <x v="0"/>
    <n v="84401"/>
  </r>
  <r>
    <n v="2997"/>
    <s v="Emp_1997"/>
    <x v="5"/>
    <x v="0"/>
    <x v="0"/>
    <x v="3"/>
    <n v="33"/>
    <n v="83333"/>
    <n v="7526"/>
    <x v="0"/>
    <n v="90859"/>
  </r>
  <r>
    <n v="2998"/>
    <s v="Emp_1998"/>
    <x v="1"/>
    <x v="1"/>
    <x v="0"/>
    <x v="3"/>
    <n v="49"/>
    <n v="62464"/>
    <n v="29686"/>
    <x v="0"/>
    <n v="92150"/>
  </r>
  <r>
    <n v="2999"/>
    <s v="Emp_1999"/>
    <x v="2"/>
    <x v="0"/>
    <x v="2"/>
    <x v="3"/>
    <n v="50"/>
    <n v="42923"/>
    <n v="12803"/>
    <x v="0"/>
    <n v="55726"/>
  </r>
  <r>
    <n v="3000"/>
    <s v="Emp_2000"/>
    <x v="3"/>
    <x v="1"/>
    <x v="4"/>
    <x v="2"/>
    <n v="38"/>
    <n v="81855"/>
    <n v="11574"/>
    <x v="1"/>
    <n v="934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Job Role-wise Employee count 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13:E19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4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Gender Distribution 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3:B17" firstHeaderRow="1" firstDataRow="1" firstDataCol="1"/>
  <pivotFields count="1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3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Department-wise Attrition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2:K11" firstHeaderRow="1" firstDataRow="2" firstDataCol="1"/>
  <pivotFields count="11">
    <pivotField dataField="1" showAll="0"/>
    <pivotField showAll="0"/>
    <pivotField axis="axisRow" showAll="0">
      <items count="8">
        <item x="3"/>
        <item x="5"/>
        <item x="2"/>
        <item x="1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Employee_ID" fld="0" subtotal="count" baseField="2" baseItem="0"/>
  </dataFields>
  <formats count="1">
    <format dxfId="0">
      <pivotArea type="all" dataOnly="0" outline="0" fieldPosition="0"/>
    </format>
  </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Department-wise Employee Coun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2:E10" firstHeaderRow="1" firstDataRow="1" firstDataCol="1"/>
  <pivotFields count="11">
    <pivotField showAll="0" defaultSubtotal="0"/>
    <pivotField showAll="0" defaultSubtotal="0"/>
    <pivotField axis="axisRow" showAll="0" defaultSubtotal="0">
      <items count="7">
        <item x="3"/>
        <item x="5"/>
        <item x="2"/>
        <item x="1"/>
        <item x="4"/>
        <item x="0"/>
        <item x="6"/>
      </items>
    </pivotField>
    <pivotField showAll="0"/>
    <pivotField showAll="0" defaultSubtotal="0"/>
    <pivotField showAll="0"/>
    <pivotField showAll="0"/>
    <pivotField dataField="1" showAll="0"/>
    <pivotField showAll="0"/>
    <pivotField showAl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alary" fld="7" subtotal="count" baseField="2" baseItem="0"/>
  </dataFields>
  <formats count="1">
    <format dxfId="2">
      <pivotArea type="all" dataOnly="0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Education-wise Employee Coun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13:H18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5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HR_Data" displayName="HR_Data" ref="A1:K2001" totalsRowShown="0" headerRowDxfId="7" headerRowBorderDxfId="6" tableBorderDxfId="5">
  <autoFilter ref="A1:K2001"/>
  <sortState ref="A2:K2001">
    <sortCondition ref="A1:A2001"/>
  </sortState>
  <tableColumns count="11">
    <tableColumn id="1" name="Employee_ID"/>
    <tableColumn id="2" name="Name"/>
    <tableColumn id="3" name="Department"/>
    <tableColumn id="4" name="Gender"/>
    <tableColumn id="5" name="Job_Role"/>
    <tableColumn id="6" name="Education"/>
    <tableColumn id="7" name="Age"/>
    <tableColumn id="8" name="Salary" dataCellStyle="Currency"/>
    <tableColumn id="9" name="Bonus" dataCellStyle="Currency"/>
    <tableColumn id="10" name="Attrition"/>
    <tableColumn id="11" name="TotalCoMalepensation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1"/>
  <sheetViews>
    <sheetView tabSelected="1" zoomScaleNormal="100" workbookViewId="0">
      <selection activeCell="B9" sqref="B9"/>
    </sheetView>
  </sheetViews>
  <sheetFormatPr defaultRowHeight="15" x14ac:dyDescent="0.25"/>
  <cols>
    <col min="1" max="1" width="18.85546875" customWidth="1"/>
    <col min="2" max="2" width="12.140625" customWidth="1"/>
    <col min="3" max="3" width="18.28515625" customWidth="1"/>
    <col min="4" max="4" width="14.5703125" customWidth="1"/>
    <col min="5" max="5" width="14.28515625" customWidth="1"/>
    <col min="6" max="6" width="17.140625" customWidth="1"/>
    <col min="7" max="7" width="10.28515625" customWidth="1"/>
    <col min="8" max="8" width="16.7109375" style="13" customWidth="1"/>
    <col min="9" max="9" width="14.7109375" style="13" customWidth="1"/>
    <col min="10" max="10" width="17" customWidth="1"/>
    <col min="11" max="11" width="20.42578125" style="13" customWidth="1"/>
  </cols>
  <sheetData>
    <row r="1" spans="1:11" x14ac:dyDescent="0.25">
      <c r="A1" s="1" t="s">
        <v>40</v>
      </c>
      <c r="B1" s="1" t="s">
        <v>0</v>
      </c>
      <c r="C1" s="1" t="s">
        <v>1</v>
      </c>
      <c r="D1" s="1" t="s">
        <v>2</v>
      </c>
      <c r="E1" s="1" t="s">
        <v>41</v>
      </c>
      <c r="F1" s="1" t="s">
        <v>3</v>
      </c>
      <c r="G1" s="1" t="s">
        <v>4</v>
      </c>
      <c r="H1" s="12" t="s">
        <v>5</v>
      </c>
      <c r="I1" s="12" t="s">
        <v>6</v>
      </c>
      <c r="J1" s="1" t="s">
        <v>7</v>
      </c>
      <c r="K1" s="12" t="s">
        <v>39</v>
      </c>
    </row>
    <row r="2" spans="1:11" x14ac:dyDescent="0.25">
      <c r="A2">
        <v>1001</v>
      </c>
      <c r="B2" t="s">
        <v>42</v>
      </c>
      <c r="C2" t="s">
        <v>8</v>
      </c>
      <c r="D2" t="s">
        <v>14</v>
      </c>
      <c r="E2" t="s">
        <v>16</v>
      </c>
      <c r="F2" t="s">
        <v>21</v>
      </c>
      <c r="G2">
        <v>39</v>
      </c>
      <c r="H2" s="13">
        <v>39239</v>
      </c>
      <c r="I2" s="13">
        <v>6909</v>
      </c>
      <c r="J2" t="s">
        <v>25</v>
      </c>
      <c r="K2" s="13">
        <f>HR_Data[[#This Row],[Salary]]+HR_Data[[#This Row],[Bonus]]</f>
        <v>46148</v>
      </c>
    </row>
    <row r="3" spans="1:11" x14ac:dyDescent="0.25">
      <c r="A3">
        <v>1002</v>
      </c>
      <c r="B3" t="s">
        <v>43</v>
      </c>
      <c r="C3" t="s">
        <v>2042</v>
      </c>
      <c r="D3" t="s">
        <v>14</v>
      </c>
      <c r="E3" t="s">
        <v>17</v>
      </c>
      <c r="F3" t="s">
        <v>22</v>
      </c>
      <c r="G3">
        <v>53</v>
      </c>
      <c r="H3" s="13">
        <v>30416</v>
      </c>
      <c r="I3" s="13">
        <v>17150</v>
      </c>
      <c r="J3" t="s">
        <v>25</v>
      </c>
      <c r="K3" s="13">
        <f>HR_Data[[#This Row],[Salary]]+HR_Data[[#This Row],[Bonus]]</f>
        <v>47566</v>
      </c>
    </row>
    <row r="4" spans="1:11" x14ac:dyDescent="0.25">
      <c r="A4">
        <v>1003</v>
      </c>
      <c r="B4" t="s">
        <v>44</v>
      </c>
      <c r="C4" t="s">
        <v>9</v>
      </c>
      <c r="D4" t="s">
        <v>15</v>
      </c>
      <c r="E4" t="s">
        <v>18</v>
      </c>
      <c r="F4" t="s">
        <v>21</v>
      </c>
      <c r="G4">
        <v>24</v>
      </c>
      <c r="H4" s="13">
        <v>23412</v>
      </c>
      <c r="I4" s="13">
        <v>28602</v>
      </c>
      <c r="J4" t="s">
        <v>25</v>
      </c>
      <c r="K4" s="13">
        <f>HR_Data[[#This Row],[Salary]]+HR_Data[[#This Row],[Bonus]]</f>
        <v>52014</v>
      </c>
    </row>
    <row r="5" spans="1:11" x14ac:dyDescent="0.25">
      <c r="A5">
        <v>1004</v>
      </c>
      <c r="B5" t="s">
        <v>45</v>
      </c>
      <c r="C5" t="s">
        <v>2042</v>
      </c>
      <c r="D5" t="s">
        <v>15</v>
      </c>
      <c r="E5" t="s">
        <v>19</v>
      </c>
      <c r="F5" t="s">
        <v>22</v>
      </c>
      <c r="G5">
        <v>23</v>
      </c>
      <c r="H5" s="13">
        <v>101976</v>
      </c>
      <c r="I5" s="13">
        <v>5080</v>
      </c>
      <c r="J5" t="s">
        <v>25</v>
      </c>
      <c r="K5" s="13">
        <f>HR_Data[[#This Row],[Salary]]+HR_Data[[#This Row],[Bonus]]</f>
        <v>107056</v>
      </c>
    </row>
    <row r="6" spans="1:11" x14ac:dyDescent="0.25">
      <c r="A6">
        <v>1005</v>
      </c>
      <c r="B6" t="s">
        <v>46</v>
      </c>
      <c r="C6" t="s">
        <v>2042</v>
      </c>
      <c r="D6" t="s">
        <v>14</v>
      </c>
      <c r="E6" t="s">
        <v>18</v>
      </c>
      <c r="F6" t="s">
        <v>23</v>
      </c>
      <c r="G6">
        <v>54</v>
      </c>
      <c r="H6" s="13">
        <v>44406</v>
      </c>
      <c r="I6" s="13">
        <v>7083</v>
      </c>
      <c r="J6" t="s">
        <v>25</v>
      </c>
      <c r="K6" s="13">
        <f>HR_Data[[#This Row],[Salary]]+HR_Data[[#This Row],[Bonus]]</f>
        <v>51489</v>
      </c>
    </row>
    <row r="7" spans="1:11" x14ac:dyDescent="0.25">
      <c r="A7">
        <v>1006</v>
      </c>
      <c r="B7" t="s">
        <v>47</v>
      </c>
      <c r="C7" t="s">
        <v>10</v>
      </c>
      <c r="D7" t="s">
        <v>15</v>
      </c>
      <c r="E7" t="s">
        <v>17</v>
      </c>
      <c r="F7" t="s">
        <v>23</v>
      </c>
      <c r="G7">
        <v>40</v>
      </c>
      <c r="H7" s="13">
        <v>21875</v>
      </c>
      <c r="I7" s="13">
        <v>18378</v>
      </c>
      <c r="J7" t="s">
        <v>25</v>
      </c>
      <c r="K7" s="13">
        <f>HR_Data[[#This Row],[Salary]]+HR_Data[[#This Row],[Bonus]]</f>
        <v>40253</v>
      </c>
    </row>
    <row r="8" spans="1:11" x14ac:dyDescent="0.25">
      <c r="A8">
        <v>1007</v>
      </c>
      <c r="B8" t="s">
        <v>48</v>
      </c>
      <c r="C8" t="s">
        <v>9</v>
      </c>
      <c r="D8" t="s">
        <v>14</v>
      </c>
      <c r="E8" t="s">
        <v>16</v>
      </c>
      <c r="F8" t="s">
        <v>22</v>
      </c>
      <c r="G8">
        <v>38</v>
      </c>
      <c r="H8" s="13">
        <v>57066</v>
      </c>
      <c r="I8" s="13">
        <v>20217</v>
      </c>
      <c r="J8" t="s">
        <v>25</v>
      </c>
      <c r="K8" s="13">
        <f>HR_Data[[#This Row],[Salary]]+HR_Data[[#This Row],[Bonus]]</f>
        <v>77283</v>
      </c>
    </row>
    <row r="9" spans="1:11" x14ac:dyDescent="0.25">
      <c r="A9">
        <v>1008</v>
      </c>
      <c r="B9" t="s">
        <v>49</v>
      </c>
      <c r="C9" t="s">
        <v>9</v>
      </c>
      <c r="D9" t="s">
        <v>14</v>
      </c>
      <c r="E9" t="s">
        <v>20</v>
      </c>
      <c r="F9" t="s">
        <v>24</v>
      </c>
      <c r="G9">
        <v>54</v>
      </c>
      <c r="H9" s="13">
        <v>25752</v>
      </c>
      <c r="I9" s="13">
        <v>23074</v>
      </c>
      <c r="J9" t="s">
        <v>25</v>
      </c>
      <c r="K9" s="13">
        <f>HR_Data[[#This Row],[Salary]]+HR_Data[[#This Row],[Bonus]]</f>
        <v>48826</v>
      </c>
    </row>
    <row r="10" spans="1:11" x14ac:dyDescent="0.25">
      <c r="A10">
        <v>1009</v>
      </c>
      <c r="B10" t="s">
        <v>50</v>
      </c>
      <c r="C10" t="s">
        <v>9</v>
      </c>
      <c r="D10" t="s">
        <v>14</v>
      </c>
      <c r="E10" t="s">
        <v>17</v>
      </c>
      <c r="F10" t="s">
        <v>21</v>
      </c>
      <c r="G10">
        <v>33</v>
      </c>
      <c r="H10" s="13">
        <v>106753</v>
      </c>
      <c r="I10" s="13">
        <v>22140</v>
      </c>
      <c r="J10" t="s">
        <v>25</v>
      </c>
      <c r="K10" s="13">
        <f>HR_Data[[#This Row],[Salary]]+HR_Data[[#This Row],[Bonus]]</f>
        <v>128893</v>
      </c>
    </row>
    <row r="11" spans="1:11" x14ac:dyDescent="0.25">
      <c r="A11">
        <v>1010</v>
      </c>
      <c r="B11" t="s">
        <v>51</v>
      </c>
      <c r="C11" t="s">
        <v>2042</v>
      </c>
      <c r="D11" t="s">
        <v>14</v>
      </c>
      <c r="E11" t="s">
        <v>16</v>
      </c>
      <c r="F11" t="s">
        <v>23</v>
      </c>
      <c r="G11">
        <v>24</v>
      </c>
      <c r="H11" s="13">
        <v>98025</v>
      </c>
      <c r="I11" s="13">
        <v>7670</v>
      </c>
      <c r="J11" t="s">
        <v>26</v>
      </c>
      <c r="K11" s="13">
        <f>HR_Data[[#This Row],[Salary]]+HR_Data[[#This Row],[Bonus]]</f>
        <v>105695</v>
      </c>
    </row>
    <row r="12" spans="1:11" x14ac:dyDescent="0.25">
      <c r="A12">
        <v>1011</v>
      </c>
      <c r="B12" t="s">
        <v>52</v>
      </c>
      <c r="C12" t="s">
        <v>8</v>
      </c>
      <c r="D12" t="s">
        <v>15</v>
      </c>
      <c r="E12" t="s">
        <v>19</v>
      </c>
      <c r="F12" t="s">
        <v>24</v>
      </c>
      <c r="G12">
        <v>47</v>
      </c>
      <c r="H12" s="13">
        <v>21353</v>
      </c>
      <c r="I12" s="13">
        <v>8751</v>
      </c>
      <c r="J12" t="s">
        <v>25</v>
      </c>
      <c r="K12" s="13">
        <f>HR_Data[[#This Row],[Salary]]+HR_Data[[#This Row],[Bonus]]</f>
        <v>30104</v>
      </c>
    </row>
    <row r="13" spans="1:11" x14ac:dyDescent="0.25">
      <c r="A13">
        <v>1012</v>
      </c>
      <c r="B13" t="s">
        <v>53</v>
      </c>
      <c r="C13" t="s">
        <v>9</v>
      </c>
      <c r="D13" t="s">
        <v>14</v>
      </c>
      <c r="E13" t="s">
        <v>18</v>
      </c>
      <c r="F13" t="s">
        <v>21</v>
      </c>
      <c r="G13">
        <v>56</v>
      </c>
      <c r="H13" s="13">
        <v>46986</v>
      </c>
      <c r="I13" s="13">
        <v>16744</v>
      </c>
      <c r="J13" t="s">
        <v>25</v>
      </c>
      <c r="K13" s="13">
        <f>HR_Data[[#This Row],[Salary]]+HR_Data[[#This Row],[Bonus]]</f>
        <v>63730</v>
      </c>
    </row>
    <row r="14" spans="1:11" x14ac:dyDescent="0.25">
      <c r="A14">
        <v>1013</v>
      </c>
      <c r="B14" t="s">
        <v>54</v>
      </c>
      <c r="C14" t="s">
        <v>11</v>
      </c>
      <c r="D14" t="s">
        <v>15</v>
      </c>
      <c r="E14" t="s">
        <v>18</v>
      </c>
      <c r="F14" t="s">
        <v>23</v>
      </c>
      <c r="G14">
        <v>29</v>
      </c>
      <c r="H14" s="13">
        <v>106907</v>
      </c>
      <c r="I14" s="13">
        <v>10261</v>
      </c>
      <c r="J14" t="s">
        <v>25</v>
      </c>
      <c r="K14" s="13">
        <f>HR_Data[[#This Row],[Salary]]+HR_Data[[#This Row],[Bonus]]</f>
        <v>117168</v>
      </c>
    </row>
    <row r="15" spans="1:11" x14ac:dyDescent="0.25">
      <c r="A15">
        <v>1014</v>
      </c>
      <c r="B15" t="s">
        <v>55</v>
      </c>
      <c r="C15" t="s">
        <v>2042</v>
      </c>
      <c r="D15" t="s">
        <v>15</v>
      </c>
      <c r="E15" t="s">
        <v>18</v>
      </c>
      <c r="F15" t="s">
        <v>23</v>
      </c>
      <c r="G15">
        <v>57</v>
      </c>
      <c r="H15" s="13">
        <v>34691</v>
      </c>
      <c r="I15" s="13">
        <v>19691</v>
      </c>
      <c r="J15" t="s">
        <v>25</v>
      </c>
      <c r="K15" s="13">
        <f>HR_Data[[#This Row],[Salary]]+HR_Data[[#This Row],[Bonus]]</f>
        <v>54382</v>
      </c>
    </row>
    <row r="16" spans="1:11" x14ac:dyDescent="0.25">
      <c r="A16">
        <v>1015</v>
      </c>
      <c r="B16" t="s">
        <v>56</v>
      </c>
      <c r="C16" t="s">
        <v>10</v>
      </c>
      <c r="D16" t="s">
        <v>15</v>
      </c>
      <c r="E16" t="s">
        <v>19</v>
      </c>
      <c r="F16" t="s">
        <v>22</v>
      </c>
      <c r="G16">
        <v>28</v>
      </c>
      <c r="H16" s="13">
        <v>89847</v>
      </c>
      <c r="I16" s="13">
        <v>11852</v>
      </c>
      <c r="J16" t="s">
        <v>25</v>
      </c>
      <c r="K16" s="13">
        <f>HR_Data[[#This Row],[Salary]]+HR_Data[[#This Row],[Bonus]]</f>
        <v>101699</v>
      </c>
    </row>
    <row r="17" spans="1:11" x14ac:dyDescent="0.25">
      <c r="A17">
        <v>1016</v>
      </c>
      <c r="B17" t="s">
        <v>57</v>
      </c>
      <c r="C17" t="s">
        <v>8</v>
      </c>
      <c r="D17" t="s">
        <v>15</v>
      </c>
      <c r="E17" t="s">
        <v>16</v>
      </c>
      <c r="F17" t="s">
        <v>21</v>
      </c>
      <c r="G17">
        <v>57</v>
      </c>
      <c r="H17" s="13">
        <v>68075</v>
      </c>
      <c r="I17" s="13">
        <v>6494</v>
      </c>
      <c r="J17" t="s">
        <v>25</v>
      </c>
      <c r="K17" s="13">
        <f>HR_Data[[#This Row],[Salary]]+HR_Data[[#This Row],[Bonus]]</f>
        <v>74569</v>
      </c>
    </row>
    <row r="18" spans="1:11" x14ac:dyDescent="0.25">
      <c r="A18">
        <v>1017</v>
      </c>
      <c r="B18" t="s">
        <v>58</v>
      </c>
      <c r="C18" t="s">
        <v>11</v>
      </c>
      <c r="D18" t="s">
        <v>14</v>
      </c>
      <c r="E18" t="s">
        <v>19</v>
      </c>
      <c r="F18" t="s">
        <v>24</v>
      </c>
      <c r="G18">
        <v>37</v>
      </c>
      <c r="H18" s="13">
        <v>30794</v>
      </c>
      <c r="I18" s="13">
        <v>27124</v>
      </c>
      <c r="J18" t="s">
        <v>25</v>
      </c>
      <c r="K18" s="13">
        <f>HR_Data[[#This Row],[Salary]]+HR_Data[[#This Row],[Bonus]]</f>
        <v>57918</v>
      </c>
    </row>
    <row r="19" spans="1:11" x14ac:dyDescent="0.25">
      <c r="A19">
        <v>1018</v>
      </c>
      <c r="B19" t="s">
        <v>59</v>
      </c>
      <c r="C19" t="s">
        <v>11</v>
      </c>
      <c r="D19" t="s">
        <v>15</v>
      </c>
      <c r="E19" t="s">
        <v>18</v>
      </c>
      <c r="F19" t="s">
        <v>24</v>
      </c>
      <c r="G19">
        <v>45</v>
      </c>
      <c r="H19" s="13">
        <v>88470</v>
      </c>
      <c r="I19" s="13">
        <v>29439</v>
      </c>
      <c r="J19" t="s">
        <v>25</v>
      </c>
      <c r="K19" s="13">
        <f>HR_Data[[#This Row],[Salary]]+HR_Data[[#This Row],[Bonus]]</f>
        <v>117909</v>
      </c>
    </row>
    <row r="20" spans="1:11" x14ac:dyDescent="0.25">
      <c r="A20">
        <v>1019</v>
      </c>
      <c r="B20" t="s">
        <v>60</v>
      </c>
      <c r="C20" t="s">
        <v>10</v>
      </c>
      <c r="D20" t="s">
        <v>14</v>
      </c>
      <c r="E20" t="s">
        <v>17</v>
      </c>
      <c r="F20" t="s">
        <v>24</v>
      </c>
      <c r="G20">
        <v>22</v>
      </c>
      <c r="H20" s="13">
        <v>36406</v>
      </c>
      <c r="I20" s="13">
        <v>22285</v>
      </c>
      <c r="J20" t="s">
        <v>25</v>
      </c>
      <c r="K20" s="13">
        <f>HR_Data[[#This Row],[Salary]]+HR_Data[[#This Row],[Bonus]]</f>
        <v>58691</v>
      </c>
    </row>
    <row r="21" spans="1:11" x14ac:dyDescent="0.25">
      <c r="A21">
        <v>1020</v>
      </c>
      <c r="B21" t="s">
        <v>61</v>
      </c>
      <c r="C21" t="s">
        <v>8</v>
      </c>
      <c r="D21" t="s">
        <v>15</v>
      </c>
      <c r="E21" t="s">
        <v>20</v>
      </c>
      <c r="F21" t="s">
        <v>21</v>
      </c>
      <c r="G21">
        <v>46</v>
      </c>
      <c r="H21" s="13">
        <v>95930</v>
      </c>
      <c r="I21" s="13">
        <v>5672</v>
      </c>
      <c r="J21" t="s">
        <v>26</v>
      </c>
      <c r="K21" s="13">
        <f>HR_Data[[#This Row],[Salary]]+HR_Data[[#This Row],[Bonus]]</f>
        <v>101602</v>
      </c>
    </row>
    <row r="22" spans="1:11" x14ac:dyDescent="0.25">
      <c r="A22">
        <v>1021</v>
      </c>
      <c r="B22" t="s">
        <v>62</v>
      </c>
      <c r="C22" t="s">
        <v>2042</v>
      </c>
      <c r="D22" t="s">
        <v>15</v>
      </c>
      <c r="E22" t="s">
        <v>19</v>
      </c>
      <c r="F22" t="s">
        <v>24</v>
      </c>
      <c r="G22">
        <v>31</v>
      </c>
      <c r="H22" s="13">
        <v>46872</v>
      </c>
      <c r="I22" s="13">
        <v>13630</v>
      </c>
      <c r="J22" t="s">
        <v>27</v>
      </c>
      <c r="K22" s="13">
        <f>HR_Data[[#This Row],[Salary]]+HR_Data[[#This Row],[Bonus]]</f>
        <v>60502</v>
      </c>
    </row>
    <row r="23" spans="1:11" x14ac:dyDescent="0.25">
      <c r="A23">
        <v>1022</v>
      </c>
      <c r="B23" t="s">
        <v>63</v>
      </c>
      <c r="C23" t="s">
        <v>12</v>
      </c>
      <c r="D23" t="s">
        <v>14</v>
      </c>
      <c r="E23" t="s">
        <v>19</v>
      </c>
      <c r="F23" t="s">
        <v>24</v>
      </c>
      <c r="G23">
        <v>37</v>
      </c>
      <c r="H23" s="13">
        <v>61708</v>
      </c>
      <c r="I23" s="13">
        <v>15268</v>
      </c>
      <c r="J23" t="s">
        <v>27</v>
      </c>
      <c r="K23" s="13">
        <f>HR_Data[[#This Row],[Salary]]+HR_Data[[#This Row],[Bonus]]</f>
        <v>76976</v>
      </c>
    </row>
    <row r="24" spans="1:11" x14ac:dyDescent="0.25">
      <c r="A24">
        <v>1023</v>
      </c>
      <c r="B24" t="s">
        <v>64</v>
      </c>
      <c r="C24" t="s">
        <v>8</v>
      </c>
      <c r="D24" t="s">
        <v>14</v>
      </c>
      <c r="E24" t="s">
        <v>16</v>
      </c>
      <c r="F24" t="s">
        <v>24</v>
      </c>
      <c r="G24">
        <v>37</v>
      </c>
      <c r="H24" s="13">
        <v>40800</v>
      </c>
      <c r="I24" s="13">
        <v>5444</v>
      </c>
      <c r="J24" t="s">
        <v>25</v>
      </c>
      <c r="K24" s="13">
        <f>HR_Data[[#This Row],[Salary]]+HR_Data[[#This Row],[Bonus]]</f>
        <v>46244</v>
      </c>
    </row>
    <row r="25" spans="1:11" x14ac:dyDescent="0.25">
      <c r="A25">
        <v>1024</v>
      </c>
      <c r="B25" t="s">
        <v>65</v>
      </c>
      <c r="C25" t="s">
        <v>10</v>
      </c>
      <c r="D25" t="s">
        <v>14</v>
      </c>
      <c r="E25" t="s">
        <v>16</v>
      </c>
      <c r="F25" t="s">
        <v>22</v>
      </c>
      <c r="G25">
        <v>29</v>
      </c>
      <c r="H25" s="13">
        <v>63397</v>
      </c>
      <c r="I25" s="13">
        <v>14157</v>
      </c>
      <c r="J25" t="s">
        <v>25</v>
      </c>
      <c r="K25" s="13">
        <f>HR_Data[[#This Row],[Salary]]+HR_Data[[#This Row],[Bonus]]</f>
        <v>77554</v>
      </c>
    </row>
    <row r="26" spans="1:11" x14ac:dyDescent="0.25">
      <c r="A26">
        <v>1025</v>
      </c>
      <c r="B26" t="s">
        <v>66</v>
      </c>
      <c r="C26" t="s">
        <v>11</v>
      </c>
      <c r="D26" t="s">
        <v>15</v>
      </c>
      <c r="E26" t="s">
        <v>19</v>
      </c>
      <c r="F26" t="s">
        <v>22</v>
      </c>
      <c r="G26">
        <v>50</v>
      </c>
      <c r="H26" s="13">
        <v>57909</v>
      </c>
      <c r="I26" s="13">
        <v>16982</v>
      </c>
      <c r="J26" t="s">
        <v>25</v>
      </c>
      <c r="K26" s="13">
        <f>HR_Data[[#This Row],[Salary]]+HR_Data[[#This Row],[Bonus]]</f>
        <v>74891</v>
      </c>
    </row>
    <row r="27" spans="1:11" x14ac:dyDescent="0.25">
      <c r="A27">
        <v>1026</v>
      </c>
      <c r="B27" t="s">
        <v>67</v>
      </c>
      <c r="C27" t="s">
        <v>2042</v>
      </c>
      <c r="D27" t="s">
        <v>15</v>
      </c>
      <c r="E27" t="s">
        <v>18</v>
      </c>
      <c r="F27" t="s">
        <v>21</v>
      </c>
      <c r="G27">
        <v>49</v>
      </c>
      <c r="H27" s="13">
        <v>41352</v>
      </c>
      <c r="I27" s="13">
        <v>13655</v>
      </c>
      <c r="J27" t="s">
        <v>25</v>
      </c>
      <c r="K27" s="13">
        <f>HR_Data[[#This Row],[Salary]]+HR_Data[[#This Row],[Bonus]]</f>
        <v>55007</v>
      </c>
    </row>
    <row r="28" spans="1:11" x14ac:dyDescent="0.25">
      <c r="A28">
        <v>1027</v>
      </c>
      <c r="B28" t="s">
        <v>68</v>
      </c>
      <c r="C28" t="s">
        <v>8</v>
      </c>
      <c r="D28" t="s">
        <v>14</v>
      </c>
      <c r="E28" t="s">
        <v>20</v>
      </c>
      <c r="F28" t="s">
        <v>21</v>
      </c>
      <c r="G28">
        <v>27</v>
      </c>
      <c r="H28" s="13">
        <v>113848</v>
      </c>
      <c r="I28" s="13">
        <v>23582</v>
      </c>
      <c r="J28" t="s">
        <v>25</v>
      </c>
      <c r="K28" s="13">
        <f>HR_Data[[#This Row],[Salary]]+HR_Data[[#This Row],[Bonus]]</f>
        <v>137430</v>
      </c>
    </row>
    <row r="29" spans="1:11" x14ac:dyDescent="0.25">
      <c r="A29">
        <v>1028</v>
      </c>
      <c r="B29" t="s">
        <v>69</v>
      </c>
      <c r="C29" t="s">
        <v>12</v>
      </c>
      <c r="D29" t="s">
        <v>14</v>
      </c>
      <c r="E29" t="s">
        <v>16</v>
      </c>
      <c r="F29" t="s">
        <v>24</v>
      </c>
      <c r="G29">
        <v>37</v>
      </c>
      <c r="H29" s="13">
        <v>35438</v>
      </c>
      <c r="I29" s="13">
        <v>7287</v>
      </c>
      <c r="J29" t="s">
        <v>25</v>
      </c>
      <c r="K29" s="13">
        <f>HR_Data[[#This Row],[Salary]]+HR_Data[[#This Row],[Bonus]]</f>
        <v>42725</v>
      </c>
    </row>
    <row r="30" spans="1:11" x14ac:dyDescent="0.25">
      <c r="A30">
        <v>1029</v>
      </c>
      <c r="B30" t="s">
        <v>70</v>
      </c>
      <c r="C30" t="s">
        <v>12</v>
      </c>
      <c r="D30" t="s">
        <v>14</v>
      </c>
      <c r="E30" t="s">
        <v>18</v>
      </c>
      <c r="F30" t="s">
        <v>22</v>
      </c>
      <c r="G30">
        <v>41</v>
      </c>
      <c r="H30" s="13">
        <v>108921</v>
      </c>
      <c r="I30" s="13">
        <v>16957</v>
      </c>
      <c r="J30" t="s">
        <v>25</v>
      </c>
      <c r="K30" s="13">
        <f>HR_Data[[#This Row],[Salary]]+HR_Data[[#This Row],[Bonus]]</f>
        <v>125878</v>
      </c>
    </row>
    <row r="31" spans="1:11" x14ac:dyDescent="0.25">
      <c r="A31">
        <v>1030</v>
      </c>
      <c r="B31" t="s">
        <v>71</v>
      </c>
      <c r="C31" t="s">
        <v>9</v>
      </c>
      <c r="D31" t="s">
        <v>14</v>
      </c>
      <c r="E31" t="s">
        <v>17</v>
      </c>
      <c r="F31" t="s">
        <v>23</v>
      </c>
      <c r="G31">
        <v>37</v>
      </c>
      <c r="H31" s="13">
        <v>64999</v>
      </c>
      <c r="I31" s="13">
        <v>9008</v>
      </c>
      <c r="J31" t="s">
        <v>25</v>
      </c>
      <c r="K31" s="13">
        <f>HR_Data[[#This Row],[Salary]]+HR_Data[[#This Row],[Bonus]]</f>
        <v>74007</v>
      </c>
    </row>
    <row r="32" spans="1:11" x14ac:dyDescent="0.25">
      <c r="A32">
        <v>1031</v>
      </c>
      <c r="B32" t="s">
        <v>72</v>
      </c>
      <c r="C32" t="s">
        <v>9</v>
      </c>
      <c r="D32" t="s">
        <v>15</v>
      </c>
      <c r="E32" t="s">
        <v>16</v>
      </c>
      <c r="F32" t="s">
        <v>23</v>
      </c>
      <c r="G32">
        <v>28</v>
      </c>
      <c r="H32" s="13">
        <v>38482</v>
      </c>
      <c r="I32" s="13">
        <v>16696</v>
      </c>
      <c r="J32" t="s">
        <v>25</v>
      </c>
      <c r="K32" s="13">
        <f>HR_Data[[#This Row],[Salary]]+HR_Data[[#This Row],[Bonus]]</f>
        <v>55178</v>
      </c>
    </row>
    <row r="33" spans="1:11" x14ac:dyDescent="0.25">
      <c r="A33">
        <v>1032</v>
      </c>
      <c r="B33" t="s">
        <v>73</v>
      </c>
      <c r="C33" t="s">
        <v>10</v>
      </c>
      <c r="D33" t="s">
        <v>14</v>
      </c>
      <c r="E33" t="s">
        <v>18</v>
      </c>
      <c r="F33" t="s">
        <v>24</v>
      </c>
      <c r="G33">
        <v>35</v>
      </c>
      <c r="H33" s="13">
        <v>52471</v>
      </c>
      <c r="I33" s="13">
        <v>14104</v>
      </c>
      <c r="J33" t="s">
        <v>25</v>
      </c>
      <c r="K33" s="13">
        <f>HR_Data[[#This Row],[Salary]]+HR_Data[[#This Row],[Bonus]]</f>
        <v>66575</v>
      </c>
    </row>
    <row r="34" spans="1:11" x14ac:dyDescent="0.25">
      <c r="A34">
        <v>1033</v>
      </c>
      <c r="B34" t="s">
        <v>74</v>
      </c>
      <c r="C34" t="s">
        <v>8</v>
      </c>
      <c r="D34" t="s">
        <v>14</v>
      </c>
      <c r="E34" t="s">
        <v>18</v>
      </c>
      <c r="F34" t="s">
        <v>24</v>
      </c>
      <c r="G34">
        <v>47</v>
      </c>
      <c r="H34" s="13">
        <v>67279</v>
      </c>
      <c r="I34" s="13">
        <v>5496</v>
      </c>
      <c r="J34" t="s">
        <v>25</v>
      </c>
      <c r="K34" s="13">
        <f>HR_Data[[#This Row],[Salary]]+HR_Data[[#This Row],[Bonus]]</f>
        <v>72775</v>
      </c>
    </row>
    <row r="35" spans="1:11" x14ac:dyDescent="0.25">
      <c r="A35">
        <v>1034</v>
      </c>
      <c r="B35" t="s">
        <v>75</v>
      </c>
      <c r="C35" t="s">
        <v>8</v>
      </c>
      <c r="D35" t="s">
        <v>14</v>
      </c>
      <c r="E35" t="s">
        <v>20</v>
      </c>
      <c r="F35" t="s">
        <v>22</v>
      </c>
      <c r="G35">
        <v>47</v>
      </c>
      <c r="H35" s="13">
        <v>74213</v>
      </c>
      <c r="I35" s="13">
        <v>6463</v>
      </c>
      <c r="J35" t="s">
        <v>25</v>
      </c>
      <c r="K35" s="13">
        <f>HR_Data[[#This Row],[Salary]]+HR_Data[[#This Row],[Bonus]]</f>
        <v>80676</v>
      </c>
    </row>
    <row r="36" spans="1:11" x14ac:dyDescent="0.25">
      <c r="A36">
        <v>1035</v>
      </c>
      <c r="B36" t="s">
        <v>76</v>
      </c>
      <c r="C36" t="s">
        <v>11</v>
      </c>
      <c r="D36" t="s">
        <v>14</v>
      </c>
      <c r="E36" t="s">
        <v>20</v>
      </c>
      <c r="F36" t="s">
        <v>22</v>
      </c>
      <c r="G36">
        <v>35</v>
      </c>
      <c r="H36" s="13">
        <v>33026</v>
      </c>
      <c r="I36" s="13">
        <v>28212</v>
      </c>
      <c r="J36" t="s">
        <v>25</v>
      </c>
      <c r="K36" s="13">
        <f>HR_Data[[#This Row],[Salary]]+HR_Data[[#This Row],[Bonus]]</f>
        <v>61238</v>
      </c>
    </row>
    <row r="37" spans="1:11" x14ac:dyDescent="0.25">
      <c r="A37">
        <v>1036</v>
      </c>
      <c r="B37" t="s">
        <v>77</v>
      </c>
      <c r="C37" t="s">
        <v>11</v>
      </c>
      <c r="D37" t="s">
        <v>15</v>
      </c>
      <c r="E37" t="s">
        <v>17</v>
      </c>
      <c r="F37" t="s">
        <v>22</v>
      </c>
      <c r="G37">
        <v>28</v>
      </c>
      <c r="H37" s="13">
        <v>105184</v>
      </c>
      <c r="I37" s="13">
        <v>25637</v>
      </c>
      <c r="J37" t="s">
        <v>25</v>
      </c>
      <c r="K37" s="13">
        <f>HR_Data[[#This Row],[Salary]]+HR_Data[[#This Row],[Bonus]]</f>
        <v>130821</v>
      </c>
    </row>
    <row r="38" spans="1:11" x14ac:dyDescent="0.25">
      <c r="A38">
        <v>1037</v>
      </c>
      <c r="B38" t="s">
        <v>78</v>
      </c>
      <c r="C38" t="s">
        <v>11</v>
      </c>
      <c r="D38" t="s">
        <v>14</v>
      </c>
      <c r="E38" t="s">
        <v>18</v>
      </c>
      <c r="F38" t="s">
        <v>21</v>
      </c>
      <c r="G38">
        <v>54</v>
      </c>
      <c r="H38" s="13">
        <v>25435</v>
      </c>
      <c r="I38" s="13">
        <v>17459</v>
      </c>
      <c r="J38" t="s">
        <v>25</v>
      </c>
      <c r="K38" s="13">
        <f>HR_Data[[#This Row],[Salary]]+HR_Data[[#This Row],[Bonus]]</f>
        <v>42894</v>
      </c>
    </row>
    <row r="39" spans="1:11" x14ac:dyDescent="0.25">
      <c r="A39">
        <v>1038</v>
      </c>
      <c r="B39" t="s">
        <v>79</v>
      </c>
      <c r="C39" t="s">
        <v>9</v>
      </c>
      <c r="D39" t="s">
        <v>15</v>
      </c>
      <c r="E39" t="s">
        <v>18</v>
      </c>
      <c r="F39" t="s">
        <v>21</v>
      </c>
      <c r="G39">
        <v>47</v>
      </c>
      <c r="H39" s="13">
        <v>28493</v>
      </c>
      <c r="I39" s="13">
        <v>21877</v>
      </c>
      <c r="J39" t="s">
        <v>25</v>
      </c>
      <c r="K39" s="13">
        <f>HR_Data[[#This Row],[Salary]]+HR_Data[[#This Row],[Bonus]]</f>
        <v>50370</v>
      </c>
    </row>
    <row r="40" spans="1:11" x14ac:dyDescent="0.25">
      <c r="A40">
        <v>1039</v>
      </c>
      <c r="B40" t="s">
        <v>80</v>
      </c>
      <c r="C40" t="s">
        <v>8</v>
      </c>
      <c r="D40" t="s">
        <v>14</v>
      </c>
      <c r="E40" t="s">
        <v>20</v>
      </c>
      <c r="F40" t="s">
        <v>24</v>
      </c>
      <c r="G40">
        <v>41</v>
      </c>
      <c r="H40" s="13">
        <v>92227</v>
      </c>
      <c r="I40" s="13">
        <v>26449</v>
      </c>
      <c r="J40" t="s">
        <v>25</v>
      </c>
      <c r="K40" s="13">
        <f>HR_Data[[#This Row],[Salary]]+HR_Data[[#This Row],[Bonus]]</f>
        <v>118676</v>
      </c>
    </row>
    <row r="41" spans="1:11" x14ac:dyDescent="0.25">
      <c r="A41">
        <v>1040</v>
      </c>
      <c r="B41" t="s">
        <v>81</v>
      </c>
      <c r="C41" t="s">
        <v>8</v>
      </c>
      <c r="D41" t="s">
        <v>14</v>
      </c>
      <c r="E41" t="s">
        <v>16</v>
      </c>
      <c r="F41" t="s">
        <v>21</v>
      </c>
      <c r="G41">
        <v>24</v>
      </c>
      <c r="H41" s="13">
        <v>79321</v>
      </c>
      <c r="I41" s="13">
        <v>26814</v>
      </c>
      <c r="J41" t="s">
        <v>25</v>
      </c>
      <c r="K41" s="13">
        <f>HR_Data[[#This Row],[Salary]]+HR_Data[[#This Row],[Bonus]]</f>
        <v>106135</v>
      </c>
    </row>
    <row r="42" spans="1:11" x14ac:dyDescent="0.25">
      <c r="A42">
        <v>1041</v>
      </c>
      <c r="B42" t="s">
        <v>82</v>
      </c>
      <c r="C42" t="s">
        <v>12</v>
      </c>
      <c r="D42" t="s">
        <v>15</v>
      </c>
      <c r="E42" t="s">
        <v>16</v>
      </c>
      <c r="F42" t="s">
        <v>22</v>
      </c>
      <c r="G42">
        <v>25</v>
      </c>
      <c r="H42" s="13">
        <v>22763</v>
      </c>
      <c r="I42" s="13">
        <v>22810</v>
      </c>
      <c r="J42" t="s">
        <v>25</v>
      </c>
      <c r="K42" s="13">
        <f>HR_Data[[#This Row],[Salary]]+HR_Data[[#This Row],[Bonus]]</f>
        <v>45573</v>
      </c>
    </row>
    <row r="43" spans="1:11" x14ac:dyDescent="0.25">
      <c r="A43">
        <v>1042</v>
      </c>
      <c r="B43" t="s">
        <v>83</v>
      </c>
      <c r="C43" t="s">
        <v>9</v>
      </c>
      <c r="D43" t="s">
        <v>14</v>
      </c>
      <c r="E43" t="s">
        <v>19</v>
      </c>
      <c r="F43" t="s">
        <v>22</v>
      </c>
      <c r="G43">
        <v>47</v>
      </c>
      <c r="H43" s="13">
        <v>40389</v>
      </c>
      <c r="I43" s="13">
        <v>14884</v>
      </c>
      <c r="J43" t="s">
        <v>25</v>
      </c>
      <c r="K43" s="13">
        <f>HR_Data[[#This Row],[Salary]]+HR_Data[[#This Row],[Bonus]]</f>
        <v>55273</v>
      </c>
    </row>
    <row r="44" spans="1:11" x14ac:dyDescent="0.25">
      <c r="A44">
        <v>1043</v>
      </c>
      <c r="B44" t="s">
        <v>84</v>
      </c>
      <c r="C44" t="s">
        <v>2042</v>
      </c>
      <c r="D44" t="s">
        <v>15</v>
      </c>
      <c r="E44" t="s">
        <v>20</v>
      </c>
      <c r="F44" t="s">
        <v>21</v>
      </c>
      <c r="G44">
        <v>32</v>
      </c>
      <c r="H44" s="13">
        <v>51498</v>
      </c>
      <c r="I44" s="13">
        <v>23177</v>
      </c>
      <c r="J44" t="s">
        <v>26</v>
      </c>
      <c r="K44" s="13">
        <f>HR_Data[[#This Row],[Salary]]+HR_Data[[#This Row],[Bonus]]</f>
        <v>74675</v>
      </c>
    </row>
    <row r="45" spans="1:11" x14ac:dyDescent="0.25">
      <c r="A45">
        <v>1044</v>
      </c>
      <c r="B45" t="s">
        <v>85</v>
      </c>
      <c r="C45" t="s">
        <v>27</v>
      </c>
      <c r="D45" t="s">
        <v>15</v>
      </c>
      <c r="E45" t="s">
        <v>19</v>
      </c>
      <c r="F45" t="s">
        <v>23</v>
      </c>
      <c r="G45">
        <v>23</v>
      </c>
      <c r="H45" s="13">
        <v>83755</v>
      </c>
      <c r="I45" s="13">
        <v>7723</v>
      </c>
      <c r="J45" t="s">
        <v>25</v>
      </c>
      <c r="K45" s="13">
        <f>HR_Data[[#This Row],[Salary]]+HR_Data[[#This Row],[Bonus]]</f>
        <v>91478</v>
      </c>
    </row>
    <row r="46" spans="1:11" x14ac:dyDescent="0.25">
      <c r="A46">
        <v>1045</v>
      </c>
      <c r="B46" t="s">
        <v>86</v>
      </c>
      <c r="C46" t="s">
        <v>2042</v>
      </c>
      <c r="D46" t="s">
        <v>14</v>
      </c>
      <c r="E46" t="s">
        <v>20</v>
      </c>
      <c r="F46" t="s">
        <v>24</v>
      </c>
      <c r="G46">
        <v>35</v>
      </c>
      <c r="H46" s="13">
        <v>55825</v>
      </c>
      <c r="I46" s="13">
        <v>22042</v>
      </c>
      <c r="J46" t="s">
        <v>26</v>
      </c>
      <c r="K46" s="13">
        <f>HR_Data[[#This Row],[Salary]]+HR_Data[[#This Row],[Bonus]]</f>
        <v>77867</v>
      </c>
    </row>
    <row r="47" spans="1:11" x14ac:dyDescent="0.25">
      <c r="A47">
        <v>1046</v>
      </c>
      <c r="B47" t="s">
        <v>87</v>
      </c>
      <c r="C47" t="s">
        <v>12</v>
      </c>
      <c r="D47" t="s">
        <v>15</v>
      </c>
      <c r="E47" t="s">
        <v>17</v>
      </c>
      <c r="F47" t="s">
        <v>23</v>
      </c>
      <c r="G47">
        <v>51</v>
      </c>
      <c r="H47" s="13">
        <v>36934</v>
      </c>
      <c r="I47" s="13">
        <v>9761</v>
      </c>
      <c r="J47" t="s">
        <v>26</v>
      </c>
      <c r="K47" s="13">
        <f>HR_Data[[#This Row],[Salary]]+HR_Data[[#This Row],[Bonus]]</f>
        <v>46695</v>
      </c>
    </row>
    <row r="48" spans="1:11" x14ac:dyDescent="0.25">
      <c r="A48">
        <v>1047</v>
      </c>
      <c r="B48" t="s">
        <v>88</v>
      </c>
      <c r="C48" t="s">
        <v>10</v>
      </c>
      <c r="D48" t="s">
        <v>15</v>
      </c>
      <c r="E48" t="s">
        <v>18</v>
      </c>
      <c r="F48" t="s">
        <v>24</v>
      </c>
      <c r="G48">
        <v>33</v>
      </c>
      <c r="H48" s="13">
        <v>25574</v>
      </c>
      <c r="I48" s="13">
        <v>12630</v>
      </c>
      <c r="J48" t="s">
        <v>25</v>
      </c>
      <c r="K48" s="13">
        <f>HR_Data[[#This Row],[Salary]]+HR_Data[[#This Row],[Bonus]]</f>
        <v>38204</v>
      </c>
    </row>
    <row r="49" spans="1:11" x14ac:dyDescent="0.25">
      <c r="A49">
        <v>1048</v>
      </c>
      <c r="B49" t="s">
        <v>89</v>
      </c>
      <c r="C49" t="s">
        <v>8</v>
      </c>
      <c r="D49" t="s">
        <v>15</v>
      </c>
      <c r="E49" t="s">
        <v>17</v>
      </c>
      <c r="F49" t="s">
        <v>23</v>
      </c>
      <c r="G49">
        <v>47</v>
      </c>
      <c r="H49" s="13">
        <v>58179</v>
      </c>
      <c r="I49" s="13">
        <v>21375</v>
      </c>
      <c r="J49" t="s">
        <v>25</v>
      </c>
      <c r="K49" s="13">
        <f>HR_Data[[#This Row],[Salary]]+HR_Data[[#This Row],[Bonus]]</f>
        <v>79554</v>
      </c>
    </row>
    <row r="50" spans="1:11" x14ac:dyDescent="0.25">
      <c r="A50">
        <v>1049</v>
      </c>
      <c r="B50" t="s">
        <v>90</v>
      </c>
      <c r="C50" t="s">
        <v>12</v>
      </c>
      <c r="D50" t="s">
        <v>15</v>
      </c>
      <c r="E50" t="s">
        <v>20</v>
      </c>
      <c r="F50" t="s">
        <v>21</v>
      </c>
      <c r="G50">
        <v>54</v>
      </c>
      <c r="H50" s="13">
        <v>21587</v>
      </c>
      <c r="I50" s="13">
        <v>13741</v>
      </c>
      <c r="J50" t="s">
        <v>27</v>
      </c>
      <c r="K50" s="13">
        <f>HR_Data[[#This Row],[Salary]]+HR_Data[[#This Row],[Bonus]]</f>
        <v>35328</v>
      </c>
    </row>
    <row r="51" spans="1:11" x14ac:dyDescent="0.25">
      <c r="A51">
        <v>1050</v>
      </c>
      <c r="B51" t="s">
        <v>91</v>
      </c>
      <c r="C51" t="s">
        <v>8</v>
      </c>
      <c r="D51" t="s">
        <v>15</v>
      </c>
      <c r="E51" t="s">
        <v>18</v>
      </c>
      <c r="F51" t="s">
        <v>24</v>
      </c>
      <c r="G51">
        <v>34</v>
      </c>
      <c r="H51" s="13">
        <v>62782</v>
      </c>
      <c r="I51" s="13">
        <v>9350</v>
      </c>
      <c r="J51" t="s">
        <v>26</v>
      </c>
      <c r="K51" s="13">
        <f>HR_Data[[#This Row],[Salary]]+HR_Data[[#This Row],[Bonus]]</f>
        <v>72132</v>
      </c>
    </row>
    <row r="52" spans="1:11" x14ac:dyDescent="0.25">
      <c r="A52">
        <v>1051</v>
      </c>
      <c r="B52" t="s">
        <v>92</v>
      </c>
      <c r="C52" t="s">
        <v>11</v>
      </c>
      <c r="D52" t="s">
        <v>15</v>
      </c>
      <c r="E52" t="s">
        <v>16</v>
      </c>
      <c r="F52" t="s">
        <v>24</v>
      </c>
      <c r="G52">
        <v>35</v>
      </c>
      <c r="H52" s="13">
        <v>74412</v>
      </c>
      <c r="I52" s="13">
        <v>5207</v>
      </c>
      <c r="J52" t="s">
        <v>26</v>
      </c>
      <c r="K52" s="13">
        <f>HR_Data[[#This Row],[Salary]]+HR_Data[[#This Row],[Bonus]]</f>
        <v>79619</v>
      </c>
    </row>
    <row r="53" spans="1:11" x14ac:dyDescent="0.25">
      <c r="A53">
        <v>1052</v>
      </c>
      <c r="B53" t="s">
        <v>93</v>
      </c>
      <c r="C53" t="s">
        <v>10</v>
      </c>
      <c r="D53" t="s">
        <v>15</v>
      </c>
      <c r="E53" t="s">
        <v>16</v>
      </c>
      <c r="F53" t="s">
        <v>24</v>
      </c>
      <c r="G53">
        <v>45</v>
      </c>
      <c r="H53" s="13">
        <v>80561</v>
      </c>
      <c r="I53" s="13">
        <v>9190</v>
      </c>
      <c r="J53" t="s">
        <v>25</v>
      </c>
      <c r="K53" s="13">
        <f>HR_Data[[#This Row],[Salary]]+HR_Data[[#This Row],[Bonus]]</f>
        <v>89751</v>
      </c>
    </row>
    <row r="54" spans="1:11" x14ac:dyDescent="0.25">
      <c r="A54">
        <v>1053</v>
      </c>
      <c r="B54" t="s">
        <v>94</v>
      </c>
      <c r="C54" t="s">
        <v>10</v>
      </c>
      <c r="D54" t="s">
        <v>15</v>
      </c>
      <c r="E54" t="s">
        <v>19</v>
      </c>
      <c r="F54" t="s">
        <v>22</v>
      </c>
      <c r="G54">
        <v>55</v>
      </c>
      <c r="H54" s="13">
        <v>97224</v>
      </c>
      <c r="I54" s="13">
        <v>6883</v>
      </c>
      <c r="J54" t="s">
        <v>27</v>
      </c>
      <c r="K54" s="13">
        <f>HR_Data[[#This Row],[Salary]]+HR_Data[[#This Row],[Bonus]]</f>
        <v>104107</v>
      </c>
    </row>
    <row r="55" spans="1:11" x14ac:dyDescent="0.25">
      <c r="A55">
        <v>1054</v>
      </c>
      <c r="B55" t="s">
        <v>95</v>
      </c>
      <c r="C55" t="s">
        <v>12</v>
      </c>
      <c r="D55" t="s">
        <v>14</v>
      </c>
      <c r="E55" t="s">
        <v>20</v>
      </c>
      <c r="F55" t="s">
        <v>22</v>
      </c>
      <c r="G55">
        <v>47</v>
      </c>
      <c r="H55" s="13">
        <v>24409</v>
      </c>
      <c r="I55" s="13">
        <v>7886</v>
      </c>
      <c r="J55" t="s">
        <v>25</v>
      </c>
      <c r="K55" s="13">
        <f>HR_Data[[#This Row],[Salary]]+HR_Data[[#This Row],[Bonus]]</f>
        <v>32295</v>
      </c>
    </row>
    <row r="56" spans="1:11" x14ac:dyDescent="0.25">
      <c r="A56">
        <v>1055</v>
      </c>
      <c r="B56" t="s">
        <v>96</v>
      </c>
      <c r="C56" t="s">
        <v>10</v>
      </c>
      <c r="D56" t="s">
        <v>27</v>
      </c>
      <c r="E56" t="s">
        <v>20</v>
      </c>
      <c r="F56" t="s">
        <v>23</v>
      </c>
      <c r="G56">
        <v>42</v>
      </c>
      <c r="H56" s="13">
        <v>91319</v>
      </c>
      <c r="I56" s="13">
        <v>21861</v>
      </c>
      <c r="J56" t="s">
        <v>25</v>
      </c>
      <c r="K56" s="13">
        <f>HR_Data[[#This Row],[Salary]]+HR_Data[[#This Row],[Bonus]]</f>
        <v>113180</v>
      </c>
    </row>
    <row r="57" spans="1:11" x14ac:dyDescent="0.25">
      <c r="A57">
        <v>1056</v>
      </c>
      <c r="B57" t="s">
        <v>97</v>
      </c>
      <c r="C57" t="s">
        <v>2042</v>
      </c>
      <c r="D57" t="s">
        <v>15</v>
      </c>
      <c r="E57" t="s">
        <v>16</v>
      </c>
      <c r="F57" t="s">
        <v>21</v>
      </c>
      <c r="G57">
        <v>49</v>
      </c>
      <c r="H57" s="13">
        <v>119016</v>
      </c>
      <c r="I57" s="13">
        <v>13953</v>
      </c>
      <c r="J57" t="s">
        <v>25</v>
      </c>
      <c r="K57" s="13">
        <f>HR_Data[[#This Row],[Salary]]+HR_Data[[#This Row],[Bonus]]</f>
        <v>132969</v>
      </c>
    </row>
    <row r="58" spans="1:11" x14ac:dyDescent="0.25">
      <c r="A58">
        <v>1057</v>
      </c>
      <c r="B58" t="s">
        <v>98</v>
      </c>
      <c r="C58" t="s">
        <v>10</v>
      </c>
      <c r="D58" t="s">
        <v>14</v>
      </c>
      <c r="E58" t="s">
        <v>17</v>
      </c>
      <c r="F58" t="s">
        <v>22</v>
      </c>
      <c r="G58">
        <v>57</v>
      </c>
      <c r="H58" s="13">
        <v>46751</v>
      </c>
      <c r="I58" s="13">
        <v>13381</v>
      </c>
      <c r="J58" t="s">
        <v>25</v>
      </c>
      <c r="K58" s="13">
        <f>HR_Data[[#This Row],[Salary]]+HR_Data[[#This Row],[Bonus]]</f>
        <v>60132</v>
      </c>
    </row>
    <row r="59" spans="1:11" x14ac:dyDescent="0.25">
      <c r="A59">
        <v>1058</v>
      </c>
      <c r="B59" t="s">
        <v>99</v>
      </c>
      <c r="C59" t="s">
        <v>8</v>
      </c>
      <c r="D59" t="s">
        <v>14</v>
      </c>
      <c r="E59" t="s">
        <v>18</v>
      </c>
      <c r="F59" t="s">
        <v>24</v>
      </c>
      <c r="G59">
        <v>23</v>
      </c>
      <c r="H59" s="13">
        <v>58174</v>
      </c>
      <c r="I59" s="13">
        <v>28238</v>
      </c>
      <c r="J59" t="s">
        <v>25</v>
      </c>
      <c r="K59" s="13">
        <f>HR_Data[[#This Row],[Salary]]+HR_Data[[#This Row],[Bonus]]</f>
        <v>86412</v>
      </c>
    </row>
    <row r="60" spans="1:11" x14ac:dyDescent="0.25">
      <c r="A60">
        <v>1059</v>
      </c>
      <c r="B60" t="s">
        <v>100</v>
      </c>
      <c r="C60" t="s">
        <v>8</v>
      </c>
      <c r="D60" t="s">
        <v>15</v>
      </c>
      <c r="E60" t="s">
        <v>17</v>
      </c>
      <c r="F60" t="s">
        <v>22</v>
      </c>
      <c r="G60">
        <v>30</v>
      </c>
      <c r="H60" s="13">
        <v>76572</v>
      </c>
      <c r="I60" s="13">
        <v>18795</v>
      </c>
      <c r="J60" t="s">
        <v>25</v>
      </c>
      <c r="K60" s="13">
        <f>HR_Data[[#This Row],[Salary]]+HR_Data[[#This Row],[Bonus]]</f>
        <v>95367</v>
      </c>
    </row>
    <row r="61" spans="1:11" x14ac:dyDescent="0.25">
      <c r="A61">
        <v>1060</v>
      </c>
      <c r="B61" t="s">
        <v>101</v>
      </c>
      <c r="C61" t="s">
        <v>8</v>
      </c>
      <c r="D61" t="s">
        <v>14</v>
      </c>
      <c r="E61" t="s">
        <v>17</v>
      </c>
      <c r="F61" t="s">
        <v>21</v>
      </c>
      <c r="G61">
        <v>44</v>
      </c>
      <c r="H61" s="13">
        <v>81416</v>
      </c>
      <c r="I61" s="13">
        <v>22139</v>
      </c>
      <c r="J61" t="s">
        <v>25</v>
      </c>
      <c r="K61" s="13">
        <f>HR_Data[[#This Row],[Salary]]+HR_Data[[#This Row],[Bonus]]</f>
        <v>103555</v>
      </c>
    </row>
    <row r="62" spans="1:11" x14ac:dyDescent="0.25">
      <c r="A62">
        <v>1061</v>
      </c>
      <c r="B62" t="s">
        <v>102</v>
      </c>
      <c r="C62" t="s">
        <v>8</v>
      </c>
      <c r="D62" t="s">
        <v>15</v>
      </c>
      <c r="E62" t="s">
        <v>16</v>
      </c>
      <c r="F62" t="s">
        <v>22</v>
      </c>
      <c r="G62">
        <v>36</v>
      </c>
      <c r="H62" s="13">
        <v>32041</v>
      </c>
      <c r="I62" s="13">
        <v>14638</v>
      </c>
      <c r="J62" t="s">
        <v>25</v>
      </c>
      <c r="K62" s="13">
        <f>HR_Data[[#This Row],[Salary]]+HR_Data[[#This Row],[Bonus]]</f>
        <v>46679</v>
      </c>
    </row>
    <row r="63" spans="1:11" x14ac:dyDescent="0.25">
      <c r="A63">
        <v>1062</v>
      </c>
      <c r="B63" t="s">
        <v>103</v>
      </c>
      <c r="C63" t="s">
        <v>2042</v>
      </c>
      <c r="D63" t="s">
        <v>15</v>
      </c>
      <c r="E63" t="s">
        <v>16</v>
      </c>
      <c r="F63" t="s">
        <v>24</v>
      </c>
      <c r="G63">
        <v>34</v>
      </c>
      <c r="H63" s="13">
        <v>43227</v>
      </c>
      <c r="I63" s="13">
        <v>9931</v>
      </c>
      <c r="J63" t="s">
        <v>25</v>
      </c>
      <c r="K63" s="13">
        <f>HR_Data[[#This Row],[Salary]]+HR_Data[[#This Row],[Bonus]]</f>
        <v>53158</v>
      </c>
    </row>
    <row r="64" spans="1:11" x14ac:dyDescent="0.25">
      <c r="A64">
        <v>1063</v>
      </c>
      <c r="B64" t="s">
        <v>104</v>
      </c>
      <c r="C64" t="s">
        <v>9</v>
      </c>
      <c r="D64" t="s">
        <v>15</v>
      </c>
      <c r="E64" t="s">
        <v>16</v>
      </c>
      <c r="F64" t="s">
        <v>23</v>
      </c>
      <c r="G64">
        <v>44</v>
      </c>
      <c r="H64" s="13">
        <v>55201</v>
      </c>
      <c r="I64" s="13">
        <v>14855</v>
      </c>
      <c r="J64" t="s">
        <v>25</v>
      </c>
      <c r="K64" s="13">
        <f>HR_Data[[#This Row],[Salary]]+HR_Data[[#This Row],[Bonus]]</f>
        <v>70056</v>
      </c>
    </row>
    <row r="65" spans="1:11" x14ac:dyDescent="0.25">
      <c r="A65">
        <v>1064</v>
      </c>
      <c r="B65" t="s">
        <v>105</v>
      </c>
      <c r="C65" t="s">
        <v>11</v>
      </c>
      <c r="D65" t="s">
        <v>15</v>
      </c>
      <c r="E65" t="s">
        <v>19</v>
      </c>
      <c r="F65" t="s">
        <v>24</v>
      </c>
      <c r="G65">
        <v>38</v>
      </c>
      <c r="H65" s="13">
        <v>56069</v>
      </c>
      <c r="I65" s="13">
        <v>10724</v>
      </c>
      <c r="J65" t="s">
        <v>25</v>
      </c>
      <c r="K65" s="13">
        <f>HR_Data[[#This Row],[Salary]]+HR_Data[[#This Row],[Bonus]]</f>
        <v>66793</v>
      </c>
    </row>
    <row r="66" spans="1:11" x14ac:dyDescent="0.25">
      <c r="A66">
        <v>1065</v>
      </c>
      <c r="B66" t="s">
        <v>106</v>
      </c>
      <c r="C66" t="s">
        <v>12</v>
      </c>
      <c r="D66" t="s">
        <v>14</v>
      </c>
      <c r="E66" t="s">
        <v>17</v>
      </c>
      <c r="F66" t="s">
        <v>21</v>
      </c>
      <c r="G66">
        <v>23</v>
      </c>
      <c r="H66" s="13">
        <v>102190</v>
      </c>
      <c r="I66" s="13">
        <v>17420</v>
      </c>
      <c r="J66" t="s">
        <v>25</v>
      </c>
      <c r="K66" s="13">
        <f>HR_Data[[#This Row],[Salary]]+HR_Data[[#This Row],[Bonus]]</f>
        <v>119610</v>
      </c>
    </row>
    <row r="67" spans="1:11" x14ac:dyDescent="0.25">
      <c r="A67">
        <v>1066</v>
      </c>
      <c r="B67" t="s">
        <v>107</v>
      </c>
      <c r="C67" t="s">
        <v>8</v>
      </c>
      <c r="D67" t="s">
        <v>15</v>
      </c>
      <c r="E67" t="s">
        <v>20</v>
      </c>
      <c r="F67" t="s">
        <v>23</v>
      </c>
      <c r="G67">
        <v>41</v>
      </c>
      <c r="H67" s="13">
        <v>46370</v>
      </c>
      <c r="I67" s="13">
        <v>25534</v>
      </c>
      <c r="J67" t="s">
        <v>25</v>
      </c>
      <c r="K67" s="13">
        <f>HR_Data[[#This Row],[Salary]]+HR_Data[[#This Row],[Bonus]]</f>
        <v>71904</v>
      </c>
    </row>
    <row r="68" spans="1:11" x14ac:dyDescent="0.25">
      <c r="A68">
        <v>1067</v>
      </c>
      <c r="B68" t="s">
        <v>108</v>
      </c>
      <c r="C68" t="s">
        <v>10</v>
      </c>
      <c r="D68" t="s">
        <v>15</v>
      </c>
      <c r="E68" t="s">
        <v>18</v>
      </c>
      <c r="F68" t="s">
        <v>22</v>
      </c>
      <c r="G68">
        <v>41</v>
      </c>
      <c r="H68" s="13">
        <v>115018</v>
      </c>
      <c r="I68" s="13">
        <v>9060</v>
      </c>
      <c r="J68" t="s">
        <v>25</v>
      </c>
      <c r="K68" s="13">
        <f>HR_Data[[#This Row],[Salary]]+HR_Data[[#This Row],[Bonus]]</f>
        <v>124078</v>
      </c>
    </row>
    <row r="69" spans="1:11" x14ac:dyDescent="0.25">
      <c r="A69">
        <v>1068</v>
      </c>
      <c r="B69" t="s">
        <v>109</v>
      </c>
      <c r="C69" t="s">
        <v>8</v>
      </c>
      <c r="D69" t="s">
        <v>15</v>
      </c>
      <c r="E69" t="s">
        <v>19</v>
      </c>
      <c r="F69" t="s">
        <v>22</v>
      </c>
      <c r="G69">
        <v>24</v>
      </c>
      <c r="H69" s="13">
        <v>31586</v>
      </c>
      <c r="I69" s="13">
        <v>9765</v>
      </c>
      <c r="J69" t="s">
        <v>25</v>
      </c>
      <c r="K69" s="13">
        <f>HR_Data[[#This Row],[Salary]]+HR_Data[[#This Row],[Bonus]]</f>
        <v>41351</v>
      </c>
    </row>
    <row r="70" spans="1:11" x14ac:dyDescent="0.25">
      <c r="A70">
        <v>1069</v>
      </c>
      <c r="B70" t="s">
        <v>110</v>
      </c>
      <c r="C70" t="s">
        <v>10</v>
      </c>
      <c r="D70" t="s">
        <v>14</v>
      </c>
      <c r="E70" t="s">
        <v>20</v>
      </c>
      <c r="F70" t="s">
        <v>22</v>
      </c>
      <c r="G70">
        <v>33</v>
      </c>
      <c r="H70" s="13">
        <v>70231</v>
      </c>
      <c r="I70" s="13">
        <v>24996</v>
      </c>
      <c r="J70" t="s">
        <v>25</v>
      </c>
      <c r="K70" s="13">
        <f>HR_Data[[#This Row],[Salary]]+HR_Data[[#This Row],[Bonus]]</f>
        <v>95227</v>
      </c>
    </row>
    <row r="71" spans="1:11" x14ac:dyDescent="0.25">
      <c r="A71">
        <v>1070</v>
      </c>
      <c r="B71" t="s">
        <v>111</v>
      </c>
      <c r="C71" t="s">
        <v>11</v>
      </c>
      <c r="D71" t="s">
        <v>15</v>
      </c>
      <c r="E71" t="s">
        <v>17</v>
      </c>
      <c r="F71" t="s">
        <v>23</v>
      </c>
      <c r="G71">
        <v>23</v>
      </c>
      <c r="H71" s="13">
        <v>25322</v>
      </c>
      <c r="I71" s="13">
        <v>11553</v>
      </c>
      <c r="J71" t="s">
        <v>25</v>
      </c>
      <c r="K71" s="13">
        <f>HR_Data[[#This Row],[Salary]]+HR_Data[[#This Row],[Bonus]]</f>
        <v>36875</v>
      </c>
    </row>
    <row r="72" spans="1:11" x14ac:dyDescent="0.25">
      <c r="A72">
        <v>1071</v>
      </c>
      <c r="B72" t="s">
        <v>112</v>
      </c>
      <c r="C72" t="s">
        <v>11</v>
      </c>
      <c r="D72" t="s">
        <v>14</v>
      </c>
      <c r="E72" t="s">
        <v>16</v>
      </c>
      <c r="F72" t="s">
        <v>24</v>
      </c>
      <c r="G72">
        <v>57</v>
      </c>
      <c r="H72" s="13">
        <v>85294</v>
      </c>
      <c r="I72" s="13">
        <v>12378</v>
      </c>
      <c r="J72" t="s">
        <v>26</v>
      </c>
      <c r="K72" s="13">
        <f>HR_Data[[#This Row],[Salary]]+HR_Data[[#This Row],[Bonus]]</f>
        <v>97672</v>
      </c>
    </row>
    <row r="73" spans="1:11" x14ac:dyDescent="0.25">
      <c r="A73">
        <v>1072</v>
      </c>
      <c r="B73" t="s">
        <v>113</v>
      </c>
      <c r="C73" t="s">
        <v>11</v>
      </c>
      <c r="D73" t="s">
        <v>14</v>
      </c>
      <c r="E73" t="s">
        <v>17</v>
      </c>
      <c r="F73" t="s">
        <v>23</v>
      </c>
      <c r="G73">
        <v>35</v>
      </c>
      <c r="H73" s="13">
        <v>99468</v>
      </c>
      <c r="I73" s="13">
        <v>23073</v>
      </c>
      <c r="J73" t="s">
        <v>25</v>
      </c>
      <c r="K73" s="13">
        <f>HR_Data[[#This Row],[Salary]]+HR_Data[[#This Row],[Bonus]]</f>
        <v>122541</v>
      </c>
    </row>
    <row r="74" spans="1:11" x14ac:dyDescent="0.25">
      <c r="A74">
        <v>1073</v>
      </c>
      <c r="B74" t="s">
        <v>114</v>
      </c>
      <c r="C74" t="s">
        <v>10</v>
      </c>
      <c r="D74" t="s">
        <v>15</v>
      </c>
      <c r="E74" t="s">
        <v>18</v>
      </c>
      <c r="F74" t="s">
        <v>23</v>
      </c>
      <c r="G74">
        <v>37</v>
      </c>
      <c r="H74" s="13">
        <v>49299</v>
      </c>
      <c r="I74" s="13">
        <v>22700</v>
      </c>
      <c r="J74" t="s">
        <v>27</v>
      </c>
      <c r="K74" s="13">
        <f>HR_Data[[#This Row],[Salary]]+HR_Data[[#This Row],[Bonus]]</f>
        <v>71999</v>
      </c>
    </row>
    <row r="75" spans="1:11" x14ac:dyDescent="0.25">
      <c r="A75">
        <v>1074</v>
      </c>
      <c r="B75" t="s">
        <v>115</v>
      </c>
      <c r="C75" t="s">
        <v>8</v>
      </c>
      <c r="D75" t="s">
        <v>15</v>
      </c>
      <c r="E75" t="s">
        <v>19</v>
      </c>
      <c r="F75" t="s">
        <v>21</v>
      </c>
      <c r="G75">
        <v>40</v>
      </c>
      <c r="H75" s="13">
        <v>110715</v>
      </c>
      <c r="I75" s="13">
        <v>12130</v>
      </c>
      <c r="J75" t="s">
        <v>26</v>
      </c>
      <c r="K75" s="13">
        <f>HR_Data[[#This Row],[Salary]]+HR_Data[[#This Row],[Bonus]]</f>
        <v>122845</v>
      </c>
    </row>
    <row r="76" spans="1:11" x14ac:dyDescent="0.25">
      <c r="A76">
        <v>1075</v>
      </c>
      <c r="B76" t="s">
        <v>116</v>
      </c>
      <c r="C76" t="s">
        <v>11</v>
      </c>
      <c r="D76" t="s">
        <v>14</v>
      </c>
      <c r="E76" t="s">
        <v>19</v>
      </c>
      <c r="F76" t="s">
        <v>23</v>
      </c>
      <c r="G76">
        <v>55</v>
      </c>
      <c r="H76" s="13">
        <v>90793</v>
      </c>
      <c r="I76" s="13">
        <v>8186</v>
      </c>
      <c r="J76" t="s">
        <v>25</v>
      </c>
      <c r="K76" s="13">
        <f>HR_Data[[#This Row],[Salary]]+HR_Data[[#This Row],[Bonus]]</f>
        <v>98979</v>
      </c>
    </row>
    <row r="77" spans="1:11" x14ac:dyDescent="0.25">
      <c r="A77">
        <v>1076</v>
      </c>
      <c r="B77" t="s">
        <v>117</v>
      </c>
      <c r="C77" t="s">
        <v>2042</v>
      </c>
      <c r="D77" t="s">
        <v>15</v>
      </c>
      <c r="E77" t="s">
        <v>18</v>
      </c>
      <c r="F77" t="s">
        <v>22</v>
      </c>
      <c r="G77">
        <v>27</v>
      </c>
      <c r="H77" s="13">
        <v>66501</v>
      </c>
      <c r="I77" s="13">
        <v>10789</v>
      </c>
      <c r="J77" t="s">
        <v>25</v>
      </c>
      <c r="K77" s="13">
        <f>HR_Data[[#This Row],[Salary]]+HR_Data[[#This Row],[Bonus]]</f>
        <v>77290</v>
      </c>
    </row>
    <row r="78" spans="1:11" x14ac:dyDescent="0.25">
      <c r="A78">
        <v>1077</v>
      </c>
      <c r="B78" t="s">
        <v>118</v>
      </c>
      <c r="C78" t="s">
        <v>10</v>
      </c>
      <c r="D78" t="s">
        <v>14</v>
      </c>
      <c r="E78" t="s">
        <v>20</v>
      </c>
      <c r="F78" t="s">
        <v>24</v>
      </c>
      <c r="G78">
        <v>34</v>
      </c>
      <c r="H78" s="13">
        <v>77134</v>
      </c>
      <c r="I78" s="13">
        <v>21122</v>
      </c>
      <c r="J78" t="s">
        <v>25</v>
      </c>
      <c r="K78" s="13">
        <f>HR_Data[[#This Row],[Salary]]+HR_Data[[#This Row],[Bonus]]</f>
        <v>98256</v>
      </c>
    </row>
    <row r="79" spans="1:11" x14ac:dyDescent="0.25">
      <c r="A79">
        <v>1078</v>
      </c>
      <c r="B79" t="s">
        <v>119</v>
      </c>
      <c r="C79" t="s">
        <v>10</v>
      </c>
      <c r="D79" t="s">
        <v>14</v>
      </c>
      <c r="E79" t="s">
        <v>20</v>
      </c>
      <c r="F79" t="s">
        <v>24</v>
      </c>
      <c r="G79">
        <v>57</v>
      </c>
      <c r="H79" s="13">
        <v>29777</v>
      </c>
      <c r="I79" s="13">
        <v>22529</v>
      </c>
      <c r="J79" t="s">
        <v>25</v>
      </c>
      <c r="K79" s="13">
        <f>HR_Data[[#This Row],[Salary]]+HR_Data[[#This Row],[Bonus]]</f>
        <v>52306</v>
      </c>
    </row>
    <row r="80" spans="1:11" x14ac:dyDescent="0.25">
      <c r="A80">
        <v>1079</v>
      </c>
      <c r="B80" t="s">
        <v>120</v>
      </c>
      <c r="C80" t="s">
        <v>8</v>
      </c>
      <c r="D80" t="s">
        <v>15</v>
      </c>
      <c r="E80" t="s">
        <v>19</v>
      </c>
      <c r="F80" t="s">
        <v>24</v>
      </c>
      <c r="G80">
        <v>43</v>
      </c>
      <c r="H80" s="13">
        <v>31249</v>
      </c>
      <c r="I80" s="13">
        <v>25778</v>
      </c>
      <c r="J80" t="s">
        <v>25</v>
      </c>
      <c r="K80" s="13">
        <f>HR_Data[[#This Row],[Salary]]+HR_Data[[#This Row],[Bonus]]</f>
        <v>57027</v>
      </c>
    </row>
    <row r="81" spans="1:11" x14ac:dyDescent="0.25">
      <c r="A81">
        <v>1080</v>
      </c>
      <c r="B81" t="s">
        <v>121</v>
      </c>
      <c r="C81" t="s">
        <v>10</v>
      </c>
      <c r="D81" t="s">
        <v>15</v>
      </c>
      <c r="E81" t="s">
        <v>19</v>
      </c>
      <c r="F81" t="s">
        <v>22</v>
      </c>
      <c r="G81">
        <v>39</v>
      </c>
      <c r="H81" s="13">
        <v>41390</v>
      </c>
      <c r="I81" s="13">
        <v>12942</v>
      </c>
      <c r="J81" t="s">
        <v>26</v>
      </c>
      <c r="K81" s="13">
        <f>HR_Data[[#This Row],[Salary]]+HR_Data[[#This Row],[Bonus]]</f>
        <v>54332</v>
      </c>
    </row>
    <row r="82" spans="1:11" x14ac:dyDescent="0.25">
      <c r="A82">
        <v>1081</v>
      </c>
      <c r="B82" t="s">
        <v>122</v>
      </c>
      <c r="C82" t="s">
        <v>10</v>
      </c>
      <c r="D82" t="s">
        <v>14</v>
      </c>
      <c r="E82" t="s">
        <v>16</v>
      </c>
      <c r="F82" t="s">
        <v>22</v>
      </c>
      <c r="G82">
        <v>33</v>
      </c>
      <c r="H82" s="13">
        <v>40369</v>
      </c>
      <c r="I82" s="13">
        <v>12548</v>
      </c>
      <c r="J82" t="s">
        <v>25</v>
      </c>
      <c r="K82" s="13">
        <f>HR_Data[[#This Row],[Salary]]+HR_Data[[#This Row],[Bonus]]</f>
        <v>52917</v>
      </c>
    </row>
    <row r="83" spans="1:11" x14ac:dyDescent="0.25">
      <c r="A83">
        <v>1082</v>
      </c>
      <c r="B83" t="s">
        <v>123</v>
      </c>
      <c r="C83" t="s">
        <v>11</v>
      </c>
      <c r="D83" t="s">
        <v>14</v>
      </c>
      <c r="E83" t="s">
        <v>20</v>
      </c>
      <c r="F83" t="s">
        <v>22</v>
      </c>
      <c r="G83">
        <v>51</v>
      </c>
      <c r="H83" s="13">
        <v>32881</v>
      </c>
      <c r="I83" s="13">
        <v>21944</v>
      </c>
      <c r="J83" t="s">
        <v>25</v>
      </c>
      <c r="K83" s="13">
        <f>HR_Data[[#This Row],[Salary]]+HR_Data[[#This Row],[Bonus]]</f>
        <v>54825</v>
      </c>
    </row>
    <row r="84" spans="1:11" x14ac:dyDescent="0.25">
      <c r="A84">
        <v>1083</v>
      </c>
      <c r="B84" t="s">
        <v>124</v>
      </c>
      <c r="C84" t="s">
        <v>8</v>
      </c>
      <c r="D84" t="s">
        <v>14</v>
      </c>
      <c r="E84" t="s">
        <v>18</v>
      </c>
      <c r="F84" t="s">
        <v>22</v>
      </c>
      <c r="G84">
        <v>28</v>
      </c>
      <c r="H84" s="13">
        <v>29587</v>
      </c>
      <c r="I84" s="13">
        <v>23296</v>
      </c>
      <c r="J84" t="s">
        <v>26</v>
      </c>
      <c r="K84" s="13">
        <f>HR_Data[[#This Row],[Salary]]+HR_Data[[#This Row],[Bonus]]</f>
        <v>52883</v>
      </c>
    </row>
    <row r="85" spans="1:11" x14ac:dyDescent="0.25">
      <c r="A85">
        <v>1084</v>
      </c>
      <c r="B85" t="s">
        <v>125</v>
      </c>
      <c r="C85" t="s">
        <v>11</v>
      </c>
      <c r="D85" t="s">
        <v>14</v>
      </c>
      <c r="E85" t="s">
        <v>20</v>
      </c>
      <c r="F85" t="s">
        <v>22</v>
      </c>
      <c r="G85">
        <v>53</v>
      </c>
      <c r="H85" s="13">
        <v>113800</v>
      </c>
      <c r="I85" s="13">
        <v>23248</v>
      </c>
      <c r="J85" t="s">
        <v>25</v>
      </c>
      <c r="K85" s="13">
        <f>HR_Data[[#This Row],[Salary]]+HR_Data[[#This Row],[Bonus]]</f>
        <v>137048</v>
      </c>
    </row>
    <row r="86" spans="1:11" x14ac:dyDescent="0.25">
      <c r="A86">
        <v>1085</v>
      </c>
      <c r="B86" t="s">
        <v>126</v>
      </c>
      <c r="C86" t="s">
        <v>11</v>
      </c>
      <c r="D86" t="s">
        <v>15</v>
      </c>
      <c r="E86" t="s">
        <v>16</v>
      </c>
      <c r="F86" t="s">
        <v>23</v>
      </c>
      <c r="G86">
        <v>40</v>
      </c>
      <c r="H86" s="13">
        <v>94327</v>
      </c>
      <c r="I86" s="13">
        <v>5296</v>
      </c>
      <c r="J86" t="s">
        <v>25</v>
      </c>
      <c r="K86" s="13">
        <f>HR_Data[[#This Row],[Salary]]+HR_Data[[#This Row],[Bonus]]</f>
        <v>99623</v>
      </c>
    </row>
    <row r="87" spans="1:11" x14ac:dyDescent="0.25">
      <c r="A87">
        <v>1086</v>
      </c>
      <c r="B87" t="s">
        <v>127</v>
      </c>
      <c r="C87" t="s">
        <v>8</v>
      </c>
      <c r="D87" t="s">
        <v>15</v>
      </c>
      <c r="E87" t="s">
        <v>19</v>
      </c>
      <c r="F87" t="s">
        <v>22</v>
      </c>
      <c r="G87">
        <v>27</v>
      </c>
      <c r="H87" s="13">
        <v>107911</v>
      </c>
      <c r="I87" s="13">
        <v>7409</v>
      </c>
      <c r="J87" t="s">
        <v>25</v>
      </c>
      <c r="K87" s="13">
        <f>HR_Data[[#This Row],[Salary]]+HR_Data[[#This Row],[Bonus]]</f>
        <v>115320</v>
      </c>
    </row>
    <row r="88" spans="1:11" x14ac:dyDescent="0.25">
      <c r="A88">
        <v>1087</v>
      </c>
      <c r="B88" t="s">
        <v>128</v>
      </c>
      <c r="C88" t="s">
        <v>12</v>
      </c>
      <c r="D88" t="s">
        <v>15</v>
      </c>
      <c r="E88" t="s">
        <v>19</v>
      </c>
      <c r="F88" t="s">
        <v>22</v>
      </c>
      <c r="G88">
        <v>41</v>
      </c>
      <c r="H88" s="13">
        <v>108147</v>
      </c>
      <c r="I88" s="13">
        <v>29014</v>
      </c>
      <c r="J88" t="s">
        <v>25</v>
      </c>
      <c r="K88" s="13">
        <f>HR_Data[[#This Row],[Salary]]+HR_Data[[#This Row],[Bonus]]</f>
        <v>137161</v>
      </c>
    </row>
    <row r="89" spans="1:11" x14ac:dyDescent="0.25">
      <c r="A89">
        <v>1088</v>
      </c>
      <c r="B89" t="s">
        <v>129</v>
      </c>
      <c r="C89" t="s">
        <v>11</v>
      </c>
      <c r="D89" t="s">
        <v>15</v>
      </c>
      <c r="E89" t="s">
        <v>16</v>
      </c>
      <c r="F89" t="s">
        <v>22</v>
      </c>
      <c r="G89">
        <v>48</v>
      </c>
      <c r="H89" s="13">
        <v>27833</v>
      </c>
      <c r="I89" s="13">
        <v>6461</v>
      </c>
      <c r="J89" t="s">
        <v>25</v>
      </c>
      <c r="K89" s="13">
        <f>HR_Data[[#This Row],[Salary]]+HR_Data[[#This Row],[Bonus]]</f>
        <v>34294</v>
      </c>
    </row>
    <row r="90" spans="1:11" x14ac:dyDescent="0.25">
      <c r="A90">
        <v>1089</v>
      </c>
      <c r="B90" t="s">
        <v>130</v>
      </c>
      <c r="C90" t="s">
        <v>2042</v>
      </c>
      <c r="D90" t="s">
        <v>15</v>
      </c>
      <c r="E90" t="s">
        <v>18</v>
      </c>
      <c r="F90" t="s">
        <v>22</v>
      </c>
      <c r="G90">
        <v>58</v>
      </c>
      <c r="H90" s="13">
        <v>67013</v>
      </c>
      <c r="I90" s="13">
        <v>25676</v>
      </c>
      <c r="J90" t="s">
        <v>25</v>
      </c>
      <c r="K90" s="13">
        <f>HR_Data[[#This Row],[Salary]]+HR_Data[[#This Row],[Bonus]]</f>
        <v>92689</v>
      </c>
    </row>
    <row r="91" spans="1:11" x14ac:dyDescent="0.25">
      <c r="A91">
        <v>1090</v>
      </c>
      <c r="B91" t="s">
        <v>131</v>
      </c>
      <c r="C91" t="s">
        <v>2042</v>
      </c>
      <c r="D91" t="s">
        <v>14</v>
      </c>
      <c r="E91" t="s">
        <v>19</v>
      </c>
      <c r="F91" t="s">
        <v>24</v>
      </c>
      <c r="G91">
        <v>28</v>
      </c>
      <c r="H91" s="13">
        <v>83620</v>
      </c>
      <c r="I91" s="13">
        <v>7268</v>
      </c>
      <c r="J91" t="s">
        <v>25</v>
      </c>
      <c r="K91" s="13">
        <f>HR_Data[[#This Row],[Salary]]+HR_Data[[#This Row],[Bonus]]</f>
        <v>90888</v>
      </c>
    </row>
    <row r="92" spans="1:11" x14ac:dyDescent="0.25">
      <c r="A92">
        <v>1091</v>
      </c>
      <c r="B92" t="s">
        <v>132</v>
      </c>
      <c r="C92" t="s">
        <v>10</v>
      </c>
      <c r="D92" t="s">
        <v>15</v>
      </c>
      <c r="E92" t="s">
        <v>17</v>
      </c>
      <c r="F92" t="s">
        <v>22</v>
      </c>
      <c r="G92">
        <v>26</v>
      </c>
      <c r="H92" s="13">
        <v>35754</v>
      </c>
      <c r="I92" s="13">
        <v>22378</v>
      </c>
      <c r="J92" t="s">
        <v>25</v>
      </c>
      <c r="K92" s="13">
        <f>HR_Data[[#This Row],[Salary]]+HR_Data[[#This Row],[Bonus]]</f>
        <v>58132</v>
      </c>
    </row>
    <row r="93" spans="1:11" x14ac:dyDescent="0.25">
      <c r="A93">
        <v>1092</v>
      </c>
      <c r="B93" t="s">
        <v>133</v>
      </c>
      <c r="C93" t="s">
        <v>2042</v>
      </c>
      <c r="D93" t="s">
        <v>15</v>
      </c>
      <c r="E93" t="s">
        <v>19</v>
      </c>
      <c r="F93" t="s">
        <v>23</v>
      </c>
      <c r="G93">
        <v>32</v>
      </c>
      <c r="H93" s="13">
        <v>98113</v>
      </c>
      <c r="I93" s="13">
        <v>11554</v>
      </c>
      <c r="J93" t="s">
        <v>25</v>
      </c>
      <c r="K93" s="13">
        <f>HR_Data[[#This Row],[Salary]]+HR_Data[[#This Row],[Bonus]]</f>
        <v>109667</v>
      </c>
    </row>
    <row r="94" spans="1:11" x14ac:dyDescent="0.25">
      <c r="A94">
        <v>1093</v>
      </c>
      <c r="B94" t="s">
        <v>134</v>
      </c>
      <c r="C94" t="s">
        <v>10</v>
      </c>
      <c r="D94" t="s">
        <v>15</v>
      </c>
      <c r="E94" t="s">
        <v>17</v>
      </c>
      <c r="F94" t="s">
        <v>23</v>
      </c>
      <c r="G94">
        <v>36</v>
      </c>
      <c r="H94" s="13">
        <v>116631</v>
      </c>
      <c r="I94" s="13">
        <v>21391</v>
      </c>
      <c r="J94" t="s">
        <v>25</v>
      </c>
      <c r="K94" s="13">
        <f>HR_Data[[#This Row],[Salary]]+HR_Data[[#This Row],[Bonus]]</f>
        <v>138022</v>
      </c>
    </row>
    <row r="95" spans="1:11" x14ac:dyDescent="0.25">
      <c r="A95">
        <v>1094</v>
      </c>
      <c r="B95" t="s">
        <v>135</v>
      </c>
      <c r="C95" t="s">
        <v>12</v>
      </c>
      <c r="D95" t="s">
        <v>15</v>
      </c>
      <c r="E95" t="s">
        <v>16</v>
      </c>
      <c r="F95" t="s">
        <v>23</v>
      </c>
      <c r="G95">
        <v>24</v>
      </c>
      <c r="H95" s="13">
        <v>106784</v>
      </c>
      <c r="I95" s="13">
        <v>23899</v>
      </c>
      <c r="J95" t="s">
        <v>25</v>
      </c>
      <c r="K95" s="13">
        <f>HR_Data[[#This Row],[Salary]]+HR_Data[[#This Row],[Bonus]]</f>
        <v>130683</v>
      </c>
    </row>
    <row r="96" spans="1:11" x14ac:dyDescent="0.25">
      <c r="A96">
        <v>1095</v>
      </c>
      <c r="B96" t="s">
        <v>136</v>
      </c>
      <c r="C96" t="s">
        <v>8</v>
      </c>
      <c r="D96" t="s">
        <v>15</v>
      </c>
      <c r="E96" t="s">
        <v>16</v>
      </c>
      <c r="F96" t="s">
        <v>21</v>
      </c>
      <c r="G96">
        <v>26</v>
      </c>
      <c r="H96" s="13">
        <v>55282</v>
      </c>
      <c r="I96" s="13">
        <v>22801</v>
      </c>
      <c r="J96" t="s">
        <v>25</v>
      </c>
      <c r="K96" s="13">
        <f>HR_Data[[#This Row],[Salary]]+HR_Data[[#This Row],[Bonus]]</f>
        <v>78083</v>
      </c>
    </row>
    <row r="97" spans="1:11" x14ac:dyDescent="0.25">
      <c r="A97">
        <v>1096</v>
      </c>
      <c r="B97" t="s">
        <v>137</v>
      </c>
      <c r="C97" t="s">
        <v>8</v>
      </c>
      <c r="D97" t="s">
        <v>14</v>
      </c>
      <c r="E97" t="s">
        <v>19</v>
      </c>
      <c r="F97" t="s">
        <v>24</v>
      </c>
      <c r="G97">
        <v>44</v>
      </c>
      <c r="H97" s="13">
        <v>56737</v>
      </c>
      <c r="I97" s="13">
        <v>23700</v>
      </c>
      <c r="J97" t="s">
        <v>25</v>
      </c>
      <c r="K97" s="13">
        <f>HR_Data[[#This Row],[Salary]]+HR_Data[[#This Row],[Bonus]]</f>
        <v>80437</v>
      </c>
    </row>
    <row r="98" spans="1:11" x14ac:dyDescent="0.25">
      <c r="A98">
        <v>1097</v>
      </c>
      <c r="B98" t="s">
        <v>138</v>
      </c>
      <c r="C98" t="s">
        <v>8</v>
      </c>
      <c r="D98" t="s">
        <v>14</v>
      </c>
      <c r="E98" t="s">
        <v>20</v>
      </c>
      <c r="F98" t="s">
        <v>22</v>
      </c>
      <c r="G98">
        <v>58</v>
      </c>
      <c r="H98" s="13">
        <v>117427</v>
      </c>
      <c r="I98" s="13">
        <v>12358</v>
      </c>
      <c r="J98" t="s">
        <v>25</v>
      </c>
      <c r="K98" s="13">
        <f>HR_Data[[#This Row],[Salary]]+HR_Data[[#This Row],[Bonus]]</f>
        <v>129785</v>
      </c>
    </row>
    <row r="99" spans="1:11" x14ac:dyDescent="0.25">
      <c r="A99">
        <v>1098</v>
      </c>
      <c r="B99" t="s">
        <v>139</v>
      </c>
      <c r="C99" t="s">
        <v>2042</v>
      </c>
      <c r="D99" t="s">
        <v>14</v>
      </c>
      <c r="E99" t="s">
        <v>17</v>
      </c>
      <c r="F99" t="s">
        <v>21</v>
      </c>
      <c r="G99">
        <v>30</v>
      </c>
      <c r="H99" s="13">
        <v>44124</v>
      </c>
      <c r="I99" s="13">
        <v>25316</v>
      </c>
      <c r="J99" t="s">
        <v>25</v>
      </c>
      <c r="K99" s="13">
        <f>HR_Data[[#This Row],[Salary]]+HR_Data[[#This Row],[Bonus]]</f>
        <v>69440</v>
      </c>
    </row>
    <row r="100" spans="1:11" x14ac:dyDescent="0.25">
      <c r="A100">
        <v>1099</v>
      </c>
      <c r="B100" t="s">
        <v>140</v>
      </c>
      <c r="C100" t="s">
        <v>12</v>
      </c>
      <c r="D100" t="s">
        <v>15</v>
      </c>
      <c r="E100" t="s">
        <v>18</v>
      </c>
      <c r="F100" t="s">
        <v>22</v>
      </c>
      <c r="G100">
        <v>36</v>
      </c>
      <c r="H100" s="13">
        <v>90102</v>
      </c>
      <c r="I100" s="13">
        <v>27588</v>
      </c>
      <c r="J100" t="s">
        <v>25</v>
      </c>
      <c r="K100" s="13">
        <f>HR_Data[[#This Row],[Salary]]+HR_Data[[#This Row],[Bonus]]</f>
        <v>117690</v>
      </c>
    </row>
    <row r="101" spans="1:11" x14ac:dyDescent="0.25">
      <c r="A101">
        <v>1100</v>
      </c>
      <c r="B101" t="s">
        <v>141</v>
      </c>
      <c r="C101" t="s">
        <v>2042</v>
      </c>
      <c r="D101" t="s">
        <v>14</v>
      </c>
      <c r="E101" t="s">
        <v>19</v>
      </c>
      <c r="F101" t="s">
        <v>21</v>
      </c>
      <c r="G101">
        <v>24</v>
      </c>
      <c r="H101" s="13">
        <v>22196</v>
      </c>
      <c r="I101" s="13">
        <v>22671</v>
      </c>
      <c r="J101" t="s">
        <v>25</v>
      </c>
      <c r="K101" s="13">
        <f>HR_Data[[#This Row],[Salary]]+HR_Data[[#This Row],[Bonus]]</f>
        <v>44867</v>
      </c>
    </row>
    <row r="102" spans="1:11" x14ac:dyDescent="0.25">
      <c r="A102">
        <v>1101</v>
      </c>
      <c r="B102" t="s">
        <v>142</v>
      </c>
      <c r="C102" t="s">
        <v>2042</v>
      </c>
      <c r="D102" t="s">
        <v>14</v>
      </c>
      <c r="E102" t="s">
        <v>18</v>
      </c>
      <c r="F102" t="s">
        <v>21</v>
      </c>
      <c r="G102">
        <v>50</v>
      </c>
      <c r="H102" s="13">
        <v>81527</v>
      </c>
      <c r="I102" s="13">
        <v>22502</v>
      </c>
      <c r="J102" t="s">
        <v>25</v>
      </c>
      <c r="K102" s="13">
        <f>HR_Data[[#This Row],[Salary]]+HR_Data[[#This Row],[Bonus]]</f>
        <v>104029</v>
      </c>
    </row>
    <row r="103" spans="1:11" x14ac:dyDescent="0.25">
      <c r="A103">
        <v>1102</v>
      </c>
      <c r="B103" t="s">
        <v>143</v>
      </c>
      <c r="C103" t="s">
        <v>12</v>
      </c>
      <c r="D103" t="s">
        <v>15</v>
      </c>
      <c r="E103" t="s">
        <v>19</v>
      </c>
      <c r="F103" t="s">
        <v>23</v>
      </c>
      <c r="G103">
        <v>27</v>
      </c>
      <c r="H103" s="13">
        <v>116651</v>
      </c>
      <c r="I103" s="13">
        <v>12637</v>
      </c>
      <c r="J103" t="s">
        <v>25</v>
      </c>
      <c r="K103" s="13">
        <f>HR_Data[[#This Row],[Salary]]+HR_Data[[#This Row],[Bonus]]</f>
        <v>129288</v>
      </c>
    </row>
    <row r="104" spans="1:11" x14ac:dyDescent="0.25">
      <c r="A104">
        <v>1103</v>
      </c>
      <c r="B104" t="s">
        <v>144</v>
      </c>
      <c r="C104" t="s">
        <v>12</v>
      </c>
      <c r="D104" t="s">
        <v>15</v>
      </c>
      <c r="E104" t="s">
        <v>20</v>
      </c>
      <c r="F104" t="s">
        <v>23</v>
      </c>
      <c r="G104">
        <v>38</v>
      </c>
      <c r="H104" s="13">
        <v>105395</v>
      </c>
      <c r="I104" s="13">
        <v>5660</v>
      </c>
      <c r="J104" t="s">
        <v>25</v>
      </c>
      <c r="K104" s="13">
        <f>HR_Data[[#This Row],[Salary]]+HR_Data[[#This Row],[Bonus]]</f>
        <v>111055</v>
      </c>
    </row>
    <row r="105" spans="1:11" x14ac:dyDescent="0.25">
      <c r="A105">
        <v>1104</v>
      </c>
      <c r="B105" t="s">
        <v>145</v>
      </c>
      <c r="C105" t="s">
        <v>12</v>
      </c>
      <c r="D105" t="s">
        <v>15</v>
      </c>
      <c r="E105" t="s">
        <v>20</v>
      </c>
      <c r="F105" t="s">
        <v>21</v>
      </c>
      <c r="G105">
        <v>47</v>
      </c>
      <c r="H105" s="13">
        <v>31345</v>
      </c>
      <c r="I105" s="13">
        <v>13907</v>
      </c>
      <c r="J105" t="s">
        <v>26</v>
      </c>
      <c r="K105" s="13">
        <f>HR_Data[[#This Row],[Salary]]+HR_Data[[#This Row],[Bonus]]</f>
        <v>45252</v>
      </c>
    </row>
    <row r="106" spans="1:11" x14ac:dyDescent="0.25">
      <c r="A106">
        <v>1105</v>
      </c>
      <c r="B106" t="s">
        <v>146</v>
      </c>
      <c r="C106" t="s">
        <v>12</v>
      </c>
      <c r="D106" t="s">
        <v>14</v>
      </c>
      <c r="E106" t="s">
        <v>20</v>
      </c>
      <c r="F106" t="s">
        <v>23</v>
      </c>
      <c r="G106">
        <v>42</v>
      </c>
      <c r="H106" s="13">
        <v>69548</v>
      </c>
      <c r="I106" s="13">
        <v>11922</v>
      </c>
      <c r="J106" t="s">
        <v>25</v>
      </c>
      <c r="K106" s="13">
        <f>HR_Data[[#This Row],[Salary]]+HR_Data[[#This Row],[Bonus]]</f>
        <v>81470</v>
      </c>
    </row>
    <row r="107" spans="1:11" x14ac:dyDescent="0.25">
      <c r="A107">
        <v>1106</v>
      </c>
      <c r="B107" t="s">
        <v>147</v>
      </c>
      <c r="C107" t="s">
        <v>8</v>
      </c>
      <c r="D107" t="s">
        <v>14</v>
      </c>
      <c r="E107" t="s">
        <v>20</v>
      </c>
      <c r="F107" t="s">
        <v>21</v>
      </c>
      <c r="G107">
        <v>29</v>
      </c>
      <c r="H107" s="13">
        <v>86400</v>
      </c>
      <c r="I107" s="13">
        <v>16953</v>
      </c>
      <c r="J107" t="s">
        <v>26</v>
      </c>
      <c r="K107" s="13">
        <f>HR_Data[[#This Row],[Salary]]+HR_Data[[#This Row],[Bonus]]</f>
        <v>103353</v>
      </c>
    </row>
    <row r="108" spans="1:11" x14ac:dyDescent="0.25">
      <c r="A108">
        <v>1107</v>
      </c>
      <c r="B108" t="s">
        <v>148</v>
      </c>
      <c r="C108" t="s">
        <v>9</v>
      </c>
      <c r="D108" t="s">
        <v>15</v>
      </c>
      <c r="E108" t="s">
        <v>16</v>
      </c>
      <c r="F108" t="s">
        <v>24</v>
      </c>
      <c r="G108">
        <v>42</v>
      </c>
      <c r="H108" s="13">
        <v>32055</v>
      </c>
      <c r="I108" s="13">
        <v>29488</v>
      </c>
      <c r="J108" t="s">
        <v>26</v>
      </c>
      <c r="K108" s="13">
        <f>HR_Data[[#This Row],[Salary]]+HR_Data[[#This Row],[Bonus]]</f>
        <v>61543</v>
      </c>
    </row>
    <row r="109" spans="1:11" x14ac:dyDescent="0.25">
      <c r="A109">
        <v>1108</v>
      </c>
      <c r="B109" t="s">
        <v>149</v>
      </c>
      <c r="C109" t="s">
        <v>9</v>
      </c>
      <c r="D109" t="s">
        <v>15</v>
      </c>
      <c r="E109" t="s">
        <v>16</v>
      </c>
      <c r="F109" t="s">
        <v>23</v>
      </c>
      <c r="G109">
        <v>32</v>
      </c>
      <c r="H109" s="13">
        <v>105283</v>
      </c>
      <c r="I109" s="13">
        <v>27721</v>
      </c>
      <c r="J109" t="s">
        <v>25</v>
      </c>
      <c r="K109" s="13">
        <f>HR_Data[[#This Row],[Salary]]+HR_Data[[#This Row],[Bonus]]</f>
        <v>133004</v>
      </c>
    </row>
    <row r="110" spans="1:11" x14ac:dyDescent="0.25">
      <c r="A110">
        <v>1109</v>
      </c>
      <c r="B110" t="s">
        <v>150</v>
      </c>
      <c r="C110" t="s">
        <v>12</v>
      </c>
      <c r="D110" t="s">
        <v>14</v>
      </c>
      <c r="E110" t="s">
        <v>17</v>
      </c>
      <c r="F110" t="s">
        <v>23</v>
      </c>
      <c r="G110">
        <v>59</v>
      </c>
      <c r="H110" s="13">
        <v>64484</v>
      </c>
      <c r="I110" s="13">
        <v>23913</v>
      </c>
      <c r="J110" t="s">
        <v>25</v>
      </c>
      <c r="K110" s="13">
        <f>HR_Data[[#This Row],[Salary]]+HR_Data[[#This Row],[Bonus]]</f>
        <v>88397</v>
      </c>
    </row>
    <row r="111" spans="1:11" x14ac:dyDescent="0.25">
      <c r="A111">
        <v>1110</v>
      </c>
      <c r="B111" t="s">
        <v>151</v>
      </c>
      <c r="C111" t="s">
        <v>9</v>
      </c>
      <c r="D111" t="s">
        <v>14</v>
      </c>
      <c r="E111" t="s">
        <v>18</v>
      </c>
      <c r="F111" t="s">
        <v>23</v>
      </c>
      <c r="G111">
        <v>29</v>
      </c>
      <c r="H111" s="13">
        <v>97514</v>
      </c>
      <c r="I111" s="13">
        <v>8970</v>
      </c>
      <c r="J111" t="s">
        <v>26</v>
      </c>
      <c r="K111" s="13">
        <f>HR_Data[[#This Row],[Salary]]+HR_Data[[#This Row],[Bonus]]</f>
        <v>106484</v>
      </c>
    </row>
    <row r="112" spans="1:11" x14ac:dyDescent="0.25">
      <c r="A112">
        <v>1111</v>
      </c>
      <c r="B112" t="s">
        <v>152</v>
      </c>
      <c r="C112" t="s">
        <v>9</v>
      </c>
      <c r="D112" t="s">
        <v>15</v>
      </c>
      <c r="E112" t="s">
        <v>19</v>
      </c>
      <c r="F112" t="s">
        <v>24</v>
      </c>
      <c r="G112">
        <v>45</v>
      </c>
      <c r="H112" s="13">
        <v>110135</v>
      </c>
      <c r="I112" s="13">
        <v>8407</v>
      </c>
      <c r="J112" t="s">
        <v>26</v>
      </c>
      <c r="K112" s="13">
        <f>HR_Data[[#This Row],[Salary]]+HR_Data[[#This Row],[Bonus]]</f>
        <v>118542</v>
      </c>
    </row>
    <row r="113" spans="1:11" x14ac:dyDescent="0.25">
      <c r="A113">
        <v>1112</v>
      </c>
      <c r="B113" t="s">
        <v>153</v>
      </c>
      <c r="C113" t="s">
        <v>12</v>
      </c>
      <c r="D113" t="s">
        <v>15</v>
      </c>
      <c r="E113" t="s">
        <v>19</v>
      </c>
      <c r="F113" t="s">
        <v>21</v>
      </c>
      <c r="G113">
        <v>56</v>
      </c>
      <c r="H113" s="13">
        <v>55771</v>
      </c>
      <c r="I113" s="13">
        <v>14046</v>
      </c>
      <c r="J113" t="s">
        <v>25</v>
      </c>
      <c r="K113" s="13">
        <f>HR_Data[[#This Row],[Salary]]+HR_Data[[#This Row],[Bonus]]</f>
        <v>69817</v>
      </c>
    </row>
    <row r="114" spans="1:11" x14ac:dyDescent="0.25">
      <c r="A114">
        <v>1113</v>
      </c>
      <c r="B114" t="s">
        <v>154</v>
      </c>
      <c r="C114" t="s">
        <v>9</v>
      </c>
      <c r="D114" t="s">
        <v>14</v>
      </c>
      <c r="E114" t="s">
        <v>16</v>
      </c>
      <c r="F114" t="s">
        <v>22</v>
      </c>
      <c r="G114">
        <v>35</v>
      </c>
      <c r="H114" s="13">
        <v>77654</v>
      </c>
      <c r="I114" s="13">
        <v>28800</v>
      </c>
      <c r="J114" t="s">
        <v>25</v>
      </c>
      <c r="K114" s="13">
        <f>HR_Data[[#This Row],[Salary]]+HR_Data[[#This Row],[Bonus]]</f>
        <v>106454</v>
      </c>
    </row>
    <row r="115" spans="1:11" x14ac:dyDescent="0.25">
      <c r="A115">
        <v>1114</v>
      </c>
      <c r="B115" t="s">
        <v>155</v>
      </c>
      <c r="C115" t="s">
        <v>2042</v>
      </c>
      <c r="D115" t="s">
        <v>15</v>
      </c>
      <c r="E115" t="s">
        <v>19</v>
      </c>
      <c r="F115" t="s">
        <v>23</v>
      </c>
      <c r="G115">
        <v>35</v>
      </c>
      <c r="H115" s="13">
        <v>66540</v>
      </c>
      <c r="I115" s="13">
        <v>19547</v>
      </c>
      <c r="J115" t="s">
        <v>25</v>
      </c>
      <c r="K115" s="13">
        <f>HR_Data[[#This Row],[Salary]]+HR_Data[[#This Row],[Bonus]]</f>
        <v>86087</v>
      </c>
    </row>
    <row r="116" spans="1:11" x14ac:dyDescent="0.25">
      <c r="A116">
        <v>1115</v>
      </c>
      <c r="B116" t="s">
        <v>156</v>
      </c>
      <c r="C116" t="s">
        <v>10</v>
      </c>
      <c r="D116" t="s">
        <v>14</v>
      </c>
      <c r="E116" t="s">
        <v>16</v>
      </c>
      <c r="F116" t="s">
        <v>21</v>
      </c>
      <c r="G116">
        <v>31</v>
      </c>
      <c r="H116" s="13">
        <v>103151</v>
      </c>
      <c r="I116" s="13">
        <v>9760</v>
      </c>
      <c r="J116" t="s">
        <v>25</v>
      </c>
      <c r="K116" s="13">
        <f>HR_Data[[#This Row],[Salary]]+HR_Data[[#This Row],[Bonus]]</f>
        <v>112911</v>
      </c>
    </row>
    <row r="117" spans="1:11" x14ac:dyDescent="0.25">
      <c r="A117">
        <v>1116</v>
      </c>
      <c r="B117" t="s">
        <v>157</v>
      </c>
      <c r="C117" t="s">
        <v>10</v>
      </c>
      <c r="D117" t="s">
        <v>14</v>
      </c>
      <c r="E117" t="s">
        <v>17</v>
      </c>
      <c r="F117" t="s">
        <v>24</v>
      </c>
      <c r="G117">
        <v>33</v>
      </c>
      <c r="H117" s="13">
        <v>49377</v>
      </c>
      <c r="I117" s="13">
        <v>23281</v>
      </c>
      <c r="J117" t="s">
        <v>25</v>
      </c>
      <c r="K117" s="13">
        <f>HR_Data[[#This Row],[Salary]]+HR_Data[[#This Row],[Bonus]]</f>
        <v>72658</v>
      </c>
    </row>
    <row r="118" spans="1:11" x14ac:dyDescent="0.25">
      <c r="A118">
        <v>1117</v>
      </c>
      <c r="B118" t="s">
        <v>158</v>
      </c>
      <c r="C118" t="s">
        <v>12</v>
      </c>
      <c r="D118" t="s">
        <v>14</v>
      </c>
      <c r="E118" t="s">
        <v>18</v>
      </c>
      <c r="F118" t="s">
        <v>22</v>
      </c>
      <c r="G118">
        <v>59</v>
      </c>
      <c r="H118" s="13">
        <v>115567</v>
      </c>
      <c r="I118" s="13">
        <v>27748</v>
      </c>
      <c r="J118" t="s">
        <v>25</v>
      </c>
      <c r="K118" s="13">
        <f>HR_Data[[#This Row],[Salary]]+HR_Data[[#This Row],[Bonus]]</f>
        <v>143315</v>
      </c>
    </row>
    <row r="119" spans="1:11" x14ac:dyDescent="0.25">
      <c r="A119">
        <v>1118</v>
      </c>
      <c r="B119" t="s">
        <v>159</v>
      </c>
      <c r="C119" t="s">
        <v>8</v>
      </c>
      <c r="D119" t="s">
        <v>14</v>
      </c>
      <c r="E119" t="s">
        <v>17</v>
      </c>
      <c r="F119" t="s">
        <v>23</v>
      </c>
      <c r="G119">
        <v>55</v>
      </c>
      <c r="H119" s="13">
        <v>69573</v>
      </c>
      <c r="I119" s="13">
        <v>29848</v>
      </c>
      <c r="J119" t="s">
        <v>25</v>
      </c>
      <c r="K119" s="13">
        <f>HR_Data[[#This Row],[Salary]]+HR_Data[[#This Row],[Bonus]]</f>
        <v>99421</v>
      </c>
    </row>
    <row r="120" spans="1:11" x14ac:dyDescent="0.25">
      <c r="A120">
        <v>1119</v>
      </c>
      <c r="B120" t="s">
        <v>160</v>
      </c>
      <c r="C120" t="s">
        <v>12</v>
      </c>
      <c r="D120" t="s">
        <v>15</v>
      </c>
      <c r="E120" t="s">
        <v>20</v>
      </c>
      <c r="F120" t="s">
        <v>24</v>
      </c>
      <c r="G120">
        <v>31</v>
      </c>
      <c r="H120" s="13">
        <v>62733</v>
      </c>
      <c r="I120" s="13">
        <v>18465</v>
      </c>
      <c r="J120" t="s">
        <v>26</v>
      </c>
      <c r="K120" s="13">
        <f>HR_Data[[#This Row],[Salary]]+HR_Data[[#This Row],[Bonus]]</f>
        <v>81198</v>
      </c>
    </row>
    <row r="121" spans="1:11" x14ac:dyDescent="0.25">
      <c r="A121">
        <v>1120</v>
      </c>
      <c r="B121" t="s">
        <v>161</v>
      </c>
      <c r="C121" t="s">
        <v>8</v>
      </c>
      <c r="D121" t="s">
        <v>15</v>
      </c>
      <c r="E121" t="s">
        <v>20</v>
      </c>
      <c r="F121" t="s">
        <v>24</v>
      </c>
      <c r="G121">
        <v>38</v>
      </c>
      <c r="H121" s="13">
        <v>31760</v>
      </c>
      <c r="I121" s="13">
        <v>9087</v>
      </c>
      <c r="J121" t="s">
        <v>25</v>
      </c>
      <c r="K121" s="13">
        <f>HR_Data[[#This Row],[Salary]]+HR_Data[[#This Row],[Bonus]]</f>
        <v>40847</v>
      </c>
    </row>
    <row r="122" spans="1:11" x14ac:dyDescent="0.25">
      <c r="A122">
        <v>1121</v>
      </c>
      <c r="B122" t="s">
        <v>162</v>
      </c>
      <c r="C122" t="s">
        <v>10</v>
      </c>
      <c r="D122" t="s">
        <v>14</v>
      </c>
      <c r="E122" t="s">
        <v>20</v>
      </c>
      <c r="F122" t="s">
        <v>22</v>
      </c>
      <c r="G122">
        <v>38</v>
      </c>
      <c r="H122" s="13">
        <v>119250</v>
      </c>
      <c r="I122" s="13">
        <v>25758</v>
      </c>
      <c r="J122" t="s">
        <v>25</v>
      </c>
      <c r="K122" s="13">
        <f>HR_Data[[#This Row],[Salary]]+HR_Data[[#This Row],[Bonus]]</f>
        <v>145008</v>
      </c>
    </row>
    <row r="123" spans="1:11" x14ac:dyDescent="0.25">
      <c r="A123">
        <v>1122</v>
      </c>
      <c r="B123" t="s">
        <v>163</v>
      </c>
      <c r="C123" t="s">
        <v>12</v>
      </c>
      <c r="D123" t="s">
        <v>14</v>
      </c>
      <c r="E123" t="s">
        <v>17</v>
      </c>
      <c r="F123" t="s">
        <v>21</v>
      </c>
      <c r="G123">
        <v>24</v>
      </c>
      <c r="H123" s="13">
        <v>45762</v>
      </c>
      <c r="I123" s="13">
        <v>12607</v>
      </c>
      <c r="J123" t="s">
        <v>25</v>
      </c>
      <c r="K123" s="13">
        <f>HR_Data[[#This Row],[Salary]]+HR_Data[[#This Row],[Bonus]]</f>
        <v>58369</v>
      </c>
    </row>
    <row r="124" spans="1:11" x14ac:dyDescent="0.25">
      <c r="A124">
        <v>1123</v>
      </c>
      <c r="B124" t="s">
        <v>164</v>
      </c>
      <c r="C124" t="s">
        <v>11</v>
      </c>
      <c r="D124" t="s">
        <v>14</v>
      </c>
      <c r="E124" t="s">
        <v>19</v>
      </c>
      <c r="F124" t="s">
        <v>23</v>
      </c>
      <c r="G124">
        <v>52</v>
      </c>
      <c r="H124" s="13">
        <v>70986</v>
      </c>
      <c r="I124" s="13">
        <v>9019</v>
      </c>
      <c r="J124" t="s">
        <v>25</v>
      </c>
      <c r="K124" s="13">
        <f>HR_Data[[#This Row],[Salary]]+HR_Data[[#This Row],[Bonus]]</f>
        <v>80005</v>
      </c>
    </row>
    <row r="125" spans="1:11" x14ac:dyDescent="0.25">
      <c r="A125">
        <v>1124</v>
      </c>
      <c r="B125" t="s">
        <v>165</v>
      </c>
      <c r="C125" t="s">
        <v>2042</v>
      </c>
      <c r="D125" t="s">
        <v>14</v>
      </c>
      <c r="E125" t="s">
        <v>18</v>
      </c>
      <c r="F125" t="s">
        <v>23</v>
      </c>
      <c r="G125">
        <v>22</v>
      </c>
      <c r="H125" s="13">
        <v>54332</v>
      </c>
      <c r="I125" s="13">
        <v>5815</v>
      </c>
      <c r="J125" t="s">
        <v>25</v>
      </c>
      <c r="K125" s="13">
        <f>HR_Data[[#This Row],[Salary]]+HR_Data[[#This Row],[Bonus]]</f>
        <v>60147</v>
      </c>
    </row>
    <row r="126" spans="1:11" x14ac:dyDescent="0.25">
      <c r="A126">
        <v>1125</v>
      </c>
      <c r="B126" t="s">
        <v>166</v>
      </c>
      <c r="C126" t="s">
        <v>9</v>
      </c>
      <c r="D126" t="s">
        <v>14</v>
      </c>
      <c r="E126" t="s">
        <v>20</v>
      </c>
      <c r="F126" t="s">
        <v>21</v>
      </c>
      <c r="G126">
        <v>33</v>
      </c>
      <c r="H126" s="13">
        <v>60100</v>
      </c>
      <c r="I126" s="13">
        <v>17563</v>
      </c>
      <c r="J126" t="s">
        <v>26</v>
      </c>
      <c r="K126" s="13">
        <f>HR_Data[[#This Row],[Salary]]+HR_Data[[#This Row],[Bonus]]</f>
        <v>77663</v>
      </c>
    </row>
    <row r="127" spans="1:11" x14ac:dyDescent="0.25">
      <c r="A127">
        <v>1126</v>
      </c>
      <c r="B127" t="s">
        <v>167</v>
      </c>
      <c r="C127" t="s">
        <v>8</v>
      </c>
      <c r="D127" t="s">
        <v>15</v>
      </c>
      <c r="E127" t="s">
        <v>20</v>
      </c>
      <c r="F127" t="s">
        <v>21</v>
      </c>
      <c r="G127">
        <v>25</v>
      </c>
      <c r="H127" s="13">
        <v>24944</v>
      </c>
      <c r="I127" s="13">
        <v>18292</v>
      </c>
      <c r="J127" t="s">
        <v>26</v>
      </c>
      <c r="K127" s="13">
        <f>HR_Data[[#This Row],[Salary]]+HR_Data[[#This Row],[Bonus]]</f>
        <v>43236</v>
      </c>
    </row>
    <row r="128" spans="1:11" x14ac:dyDescent="0.25">
      <c r="A128">
        <v>1127</v>
      </c>
      <c r="B128" t="s">
        <v>168</v>
      </c>
      <c r="C128" t="s">
        <v>11</v>
      </c>
      <c r="D128" t="s">
        <v>15</v>
      </c>
      <c r="E128" t="s">
        <v>20</v>
      </c>
      <c r="F128" t="s">
        <v>21</v>
      </c>
      <c r="G128">
        <v>34</v>
      </c>
      <c r="H128" s="13">
        <v>68825</v>
      </c>
      <c r="I128" s="13">
        <v>28639</v>
      </c>
      <c r="J128" t="s">
        <v>26</v>
      </c>
      <c r="K128" s="13">
        <f>HR_Data[[#This Row],[Salary]]+HR_Data[[#This Row],[Bonus]]</f>
        <v>97464</v>
      </c>
    </row>
    <row r="129" spans="1:11" x14ac:dyDescent="0.25">
      <c r="A129">
        <v>1128</v>
      </c>
      <c r="B129" t="s">
        <v>169</v>
      </c>
      <c r="C129" t="s">
        <v>9</v>
      </c>
      <c r="D129" t="s">
        <v>15</v>
      </c>
      <c r="E129" t="s">
        <v>18</v>
      </c>
      <c r="F129" t="s">
        <v>22</v>
      </c>
      <c r="G129">
        <v>55</v>
      </c>
      <c r="H129" s="13">
        <v>33877</v>
      </c>
      <c r="I129" s="13">
        <v>21158</v>
      </c>
      <c r="J129" t="s">
        <v>25</v>
      </c>
      <c r="K129" s="13">
        <f>HR_Data[[#This Row],[Salary]]+HR_Data[[#This Row],[Bonus]]</f>
        <v>55035</v>
      </c>
    </row>
    <row r="130" spans="1:11" x14ac:dyDescent="0.25">
      <c r="A130">
        <v>1129</v>
      </c>
      <c r="B130" t="s">
        <v>170</v>
      </c>
      <c r="C130" t="s">
        <v>9</v>
      </c>
      <c r="D130" t="s">
        <v>15</v>
      </c>
      <c r="E130" t="s">
        <v>20</v>
      </c>
      <c r="F130" t="s">
        <v>22</v>
      </c>
      <c r="G130">
        <v>42</v>
      </c>
      <c r="H130" s="13">
        <v>49990</v>
      </c>
      <c r="I130" s="13">
        <v>5922</v>
      </c>
      <c r="J130" t="s">
        <v>25</v>
      </c>
      <c r="K130" s="13">
        <f>HR_Data[[#This Row],[Salary]]+HR_Data[[#This Row],[Bonus]]</f>
        <v>55912</v>
      </c>
    </row>
    <row r="131" spans="1:11" x14ac:dyDescent="0.25">
      <c r="A131">
        <v>1130</v>
      </c>
      <c r="B131" t="s">
        <v>171</v>
      </c>
      <c r="C131" t="s">
        <v>12</v>
      </c>
      <c r="D131" t="s">
        <v>14</v>
      </c>
      <c r="E131" t="s">
        <v>18</v>
      </c>
      <c r="F131" t="s">
        <v>23</v>
      </c>
      <c r="G131">
        <v>43</v>
      </c>
      <c r="H131" s="13">
        <v>119612</v>
      </c>
      <c r="I131" s="13">
        <v>17929</v>
      </c>
      <c r="J131" t="s">
        <v>25</v>
      </c>
      <c r="K131" s="13">
        <f>HR_Data[[#This Row],[Salary]]+HR_Data[[#This Row],[Bonus]]</f>
        <v>137541</v>
      </c>
    </row>
    <row r="132" spans="1:11" x14ac:dyDescent="0.25">
      <c r="A132">
        <v>1131</v>
      </c>
      <c r="B132" t="s">
        <v>172</v>
      </c>
      <c r="C132" t="s">
        <v>9</v>
      </c>
      <c r="D132" t="s">
        <v>14</v>
      </c>
      <c r="E132" t="s">
        <v>20</v>
      </c>
      <c r="F132" t="s">
        <v>22</v>
      </c>
      <c r="G132">
        <v>25</v>
      </c>
      <c r="H132" s="13">
        <v>75283</v>
      </c>
      <c r="I132" s="13">
        <v>19925</v>
      </c>
      <c r="J132" t="s">
        <v>26</v>
      </c>
      <c r="K132" s="13">
        <f>HR_Data[[#This Row],[Salary]]+HR_Data[[#This Row],[Bonus]]</f>
        <v>95208</v>
      </c>
    </row>
    <row r="133" spans="1:11" x14ac:dyDescent="0.25">
      <c r="A133">
        <v>1132</v>
      </c>
      <c r="B133" t="s">
        <v>173</v>
      </c>
      <c r="C133" t="s">
        <v>2042</v>
      </c>
      <c r="D133" t="s">
        <v>14</v>
      </c>
      <c r="E133" t="s">
        <v>17</v>
      </c>
      <c r="F133" t="s">
        <v>24</v>
      </c>
      <c r="G133">
        <v>39</v>
      </c>
      <c r="H133" s="13">
        <v>23258</v>
      </c>
      <c r="I133" s="13">
        <v>26251</v>
      </c>
      <c r="J133" t="s">
        <v>25</v>
      </c>
      <c r="K133" s="13">
        <f>HR_Data[[#This Row],[Salary]]+HR_Data[[#This Row],[Bonus]]</f>
        <v>49509</v>
      </c>
    </row>
    <row r="134" spans="1:11" x14ac:dyDescent="0.25">
      <c r="A134">
        <v>1133</v>
      </c>
      <c r="B134" t="s">
        <v>174</v>
      </c>
      <c r="C134" t="s">
        <v>11</v>
      </c>
      <c r="D134" t="s">
        <v>14</v>
      </c>
      <c r="E134" t="s">
        <v>17</v>
      </c>
      <c r="F134" t="s">
        <v>23</v>
      </c>
      <c r="G134">
        <v>26</v>
      </c>
      <c r="H134" s="13">
        <v>51629</v>
      </c>
      <c r="I134" s="13">
        <v>22648</v>
      </c>
      <c r="J134" t="s">
        <v>25</v>
      </c>
      <c r="K134" s="13">
        <f>HR_Data[[#This Row],[Salary]]+HR_Data[[#This Row],[Bonus]]</f>
        <v>74277</v>
      </c>
    </row>
    <row r="135" spans="1:11" x14ac:dyDescent="0.25">
      <c r="A135">
        <v>1134</v>
      </c>
      <c r="B135" t="s">
        <v>175</v>
      </c>
      <c r="C135" t="s">
        <v>9</v>
      </c>
      <c r="D135" t="s">
        <v>14</v>
      </c>
      <c r="E135" t="s">
        <v>18</v>
      </c>
      <c r="F135" t="s">
        <v>22</v>
      </c>
      <c r="G135">
        <v>40</v>
      </c>
      <c r="H135" s="13">
        <v>57579</v>
      </c>
      <c r="I135" s="13">
        <v>25108</v>
      </c>
      <c r="J135" t="s">
        <v>25</v>
      </c>
      <c r="K135" s="13">
        <f>HR_Data[[#This Row],[Salary]]+HR_Data[[#This Row],[Bonus]]</f>
        <v>82687</v>
      </c>
    </row>
    <row r="136" spans="1:11" x14ac:dyDescent="0.25">
      <c r="A136">
        <v>1135</v>
      </c>
      <c r="B136" t="s">
        <v>176</v>
      </c>
      <c r="C136" t="s">
        <v>12</v>
      </c>
      <c r="D136" t="s">
        <v>15</v>
      </c>
      <c r="E136" t="s">
        <v>17</v>
      </c>
      <c r="F136" t="s">
        <v>21</v>
      </c>
      <c r="G136">
        <v>23</v>
      </c>
      <c r="H136" s="13">
        <v>42958</v>
      </c>
      <c r="I136" s="13">
        <v>15979</v>
      </c>
      <c r="J136" t="s">
        <v>27</v>
      </c>
      <c r="K136" s="13">
        <f>HR_Data[[#This Row],[Salary]]+HR_Data[[#This Row],[Bonus]]</f>
        <v>58937</v>
      </c>
    </row>
    <row r="137" spans="1:11" x14ac:dyDescent="0.25">
      <c r="A137">
        <v>1136</v>
      </c>
      <c r="B137" t="s">
        <v>177</v>
      </c>
      <c r="C137" t="s">
        <v>2042</v>
      </c>
      <c r="D137" t="s">
        <v>14</v>
      </c>
      <c r="E137" t="s">
        <v>18</v>
      </c>
      <c r="F137" t="s">
        <v>24</v>
      </c>
      <c r="G137">
        <v>33</v>
      </c>
      <c r="H137" s="13">
        <v>59465</v>
      </c>
      <c r="I137" s="13">
        <v>7722</v>
      </c>
      <c r="J137" t="s">
        <v>26</v>
      </c>
      <c r="K137" s="13">
        <f>HR_Data[[#This Row],[Salary]]+HR_Data[[#This Row],[Bonus]]</f>
        <v>67187</v>
      </c>
    </row>
    <row r="138" spans="1:11" x14ac:dyDescent="0.25">
      <c r="A138">
        <v>1137</v>
      </c>
      <c r="B138" t="s">
        <v>178</v>
      </c>
      <c r="C138" t="s">
        <v>10</v>
      </c>
      <c r="D138" t="s">
        <v>15</v>
      </c>
      <c r="E138" t="s">
        <v>17</v>
      </c>
      <c r="F138" t="s">
        <v>21</v>
      </c>
      <c r="G138">
        <v>38</v>
      </c>
      <c r="H138" s="13">
        <v>105853</v>
      </c>
      <c r="I138" s="13">
        <v>10355</v>
      </c>
      <c r="J138" t="s">
        <v>25</v>
      </c>
      <c r="K138" s="13">
        <f>HR_Data[[#This Row],[Salary]]+HR_Data[[#This Row],[Bonus]]</f>
        <v>116208</v>
      </c>
    </row>
    <row r="139" spans="1:11" x14ac:dyDescent="0.25">
      <c r="A139">
        <v>1138</v>
      </c>
      <c r="B139" t="s">
        <v>179</v>
      </c>
      <c r="C139" t="s">
        <v>11</v>
      </c>
      <c r="D139" t="s">
        <v>15</v>
      </c>
      <c r="E139" t="s">
        <v>17</v>
      </c>
      <c r="F139" t="s">
        <v>23</v>
      </c>
      <c r="G139">
        <v>31</v>
      </c>
      <c r="H139" s="13">
        <v>35775</v>
      </c>
      <c r="I139" s="13">
        <v>18301</v>
      </c>
      <c r="J139" t="s">
        <v>25</v>
      </c>
      <c r="K139" s="13">
        <f>HR_Data[[#This Row],[Salary]]+HR_Data[[#This Row],[Bonus]]</f>
        <v>54076</v>
      </c>
    </row>
    <row r="140" spans="1:11" x14ac:dyDescent="0.25">
      <c r="A140">
        <v>1139</v>
      </c>
      <c r="B140" t="s">
        <v>180</v>
      </c>
      <c r="C140" t="s">
        <v>9</v>
      </c>
      <c r="D140" t="s">
        <v>15</v>
      </c>
      <c r="E140" t="s">
        <v>18</v>
      </c>
      <c r="F140" t="s">
        <v>21</v>
      </c>
      <c r="G140">
        <v>55</v>
      </c>
      <c r="H140" s="13">
        <v>96575</v>
      </c>
      <c r="I140" s="13">
        <v>7550</v>
      </c>
      <c r="J140" t="s">
        <v>26</v>
      </c>
      <c r="K140" s="13">
        <f>HR_Data[[#This Row],[Salary]]+HR_Data[[#This Row],[Bonus]]</f>
        <v>104125</v>
      </c>
    </row>
    <row r="141" spans="1:11" x14ac:dyDescent="0.25">
      <c r="A141">
        <v>1140</v>
      </c>
      <c r="B141" t="s">
        <v>181</v>
      </c>
      <c r="C141" t="s">
        <v>12</v>
      </c>
      <c r="D141" t="s">
        <v>15</v>
      </c>
      <c r="E141" t="s">
        <v>19</v>
      </c>
      <c r="F141" t="s">
        <v>22</v>
      </c>
      <c r="G141">
        <v>27</v>
      </c>
      <c r="H141" s="13">
        <v>114633</v>
      </c>
      <c r="I141" s="13">
        <v>26703</v>
      </c>
      <c r="J141" t="s">
        <v>27</v>
      </c>
      <c r="K141" s="13">
        <f>HR_Data[[#This Row],[Salary]]+HR_Data[[#This Row],[Bonus]]</f>
        <v>141336</v>
      </c>
    </row>
    <row r="142" spans="1:11" x14ac:dyDescent="0.25">
      <c r="A142">
        <v>1141</v>
      </c>
      <c r="B142" t="s">
        <v>182</v>
      </c>
      <c r="C142" t="s">
        <v>10</v>
      </c>
      <c r="D142" t="s">
        <v>14</v>
      </c>
      <c r="E142" t="s">
        <v>17</v>
      </c>
      <c r="F142" t="s">
        <v>22</v>
      </c>
      <c r="G142">
        <v>29</v>
      </c>
      <c r="H142" s="13">
        <v>54207</v>
      </c>
      <c r="I142" s="13">
        <v>16141</v>
      </c>
      <c r="J142" t="s">
        <v>25</v>
      </c>
      <c r="K142" s="13">
        <f>HR_Data[[#This Row],[Salary]]+HR_Data[[#This Row],[Bonus]]</f>
        <v>70348</v>
      </c>
    </row>
    <row r="143" spans="1:11" x14ac:dyDescent="0.25">
      <c r="A143">
        <v>1142</v>
      </c>
      <c r="B143" t="s">
        <v>183</v>
      </c>
      <c r="C143" t="s">
        <v>10</v>
      </c>
      <c r="D143" t="s">
        <v>15</v>
      </c>
      <c r="E143" t="s">
        <v>20</v>
      </c>
      <c r="F143" t="s">
        <v>23</v>
      </c>
      <c r="G143">
        <v>32</v>
      </c>
      <c r="H143" s="13">
        <v>42553</v>
      </c>
      <c r="I143" s="13">
        <v>28070</v>
      </c>
      <c r="J143" t="s">
        <v>25</v>
      </c>
      <c r="K143" s="13">
        <f>HR_Data[[#This Row],[Salary]]+HR_Data[[#This Row],[Bonus]]</f>
        <v>70623</v>
      </c>
    </row>
    <row r="144" spans="1:11" x14ac:dyDescent="0.25">
      <c r="A144">
        <v>1143</v>
      </c>
      <c r="B144" t="s">
        <v>184</v>
      </c>
      <c r="C144" t="s">
        <v>8</v>
      </c>
      <c r="D144" t="s">
        <v>15</v>
      </c>
      <c r="E144" t="s">
        <v>19</v>
      </c>
      <c r="F144" t="s">
        <v>21</v>
      </c>
      <c r="G144">
        <v>33</v>
      </c>
      <c r="H144" s="13">
        <v>73632</v>
      </c>
      <c r="I144" s="13">
        <v>23057</v>
      </c>
      <c r="J144" t="s">
        <v>25</v>
      </c>
      <c r="K144" s="13">
        <f>HR_Data[[#This Row],[Salary]]+HR_Data[[#This Row],[Bonus]]</f>
        <v>96689</v>
      </c>
    </row>
    <row r="145" spans="1:11" x14ac:dyDescent="0.25">
      <c r="A145">
        <v>1144</v>
      </c>
      <c r="B145" t="s">
        <v>185</v>
      </c>
      <c r="C145" t="s">
        <v>2042</v>
      </c>
      <c r="D145" t="s">
        <v>15</v>
      </c>
      <c r="E145" t="s">
        <v>18</v>
      </c>
      <c r="F145" t="s">
        <v>23</v>
      </c>
      <c r="G145">
        <v>30</v>
      </c>
      <c r="H145" s="13">
        <v>20055</v>
      </c>
      <c r="I145" s="13">
        <v>25971</v>
      </c>
      <c r="J145" t="s">
        <v>26</v>
      </c>
      <c r="K145" s="13">
        <f>HR_Data[[#This Row],[Salary]]+HR_Data[[#This Row],[Bonus]]</f>
        <v>46026</v>
      </c>
    </row>
    <row r="146" spans="1:11" x14ac:dyDescent="0.25">
      <c r="A146">
        <v>1145</v>
      </c>
      <c r="B146" t="s">
        <v>186</v>
      </c>
      <c r="C146" t="s">
        <v>9</v>
      </c>
      <c r="D146" t="s">
        <v>14</v>
      </c>
      <c r="E146" t="s">
        <v>19</v>
      </c>
      <c r="F146" t="s">
        <v>21</v>
      </c>
      <c r="G146">
        <v>23</v>
      </c>
      <c r="H146" s="13">
        <v>108697</v>
      </c>
      <c r="I146" s="13">
        <v>16284</v>
      </c>
      <c r="J146" t="s">
        <v>25</v>
      </c>
      <c r="K146" s="13">
        <f>HR_Data[[#This Row],[Salary]]+HR_Data[[#This Row],[Bonus]]</f>
        <v>124981</v>
      </c>
    </row>
    <row r="147" spans="1:11" x14ac:dyDescent="0.25">
      <c r="A147">
        <v>1146</v>
      </c>
      <c r="B147" t="s">
        <v>187</v>
      </c>
      <c r="C147" t="s">
        <v>12</v>
      </c>
      <c r="D147" t="s">
        <v>14</v>
      </c>
      <c r="E147" t="s">
        <v>16</v>
      </c>
      <c r="F147" t="s">
        <v>24</v>
      </c>
      <c r="G147">
        <v>29</v>
      </c>
      <c r="H147" s="13">
        <v>52873</v>
      </c>
      <c r="I147" s="13">
        <v>26737</v>
      </c>
      <c r="J147" t="s">
        <v>25</v>
      </c>
      <c r="K147" s="13">
        <f>HR_Data[[#This Row],[Salary]]+HR_Data[[#This Row],[Bonus]]</f>
        <v>79610</v>
      </c>
    </row>
    <row r="148" spans="1:11" x14ac:dyDescent="0.25">
      <c r="A148">
        <v>1147</v>
      </c>
      <c r="B148" t="s">
        <v>188</v>
      </c>
      <c r="C148" t="s">
        <v>8</v>
      </c>
      <c r="D148" t="s">
        <v>14</v>
      </c>
      <c r="E148" t="s">
        <v>16</v>
      </c>
      <c r="F148" t="s">
        <v>22</v>
      </c>
      <c r="G148">
        <v>32</v>
      </c>
      <c r="H148" s="13">
        <v>100720</v>
      </c>
      <c r="I148" s="13">
        <v>28241</v>
      </c>
      <c r="J148" t="s">
        <v>26</v>
      </c>
      <c r="K148" s="13">
        <f>HR_Data[[#This Row],[Salary]]+HR_Data[[#This Row],[Bonus]]</f>
        <v>128961</v>
      </c>
    </row>
    <row r="149" spans="1:11" x14ac:dyDescent="0.25">
      <c r="A149">
        <v>1148</v>
      </c>
      <c r="B149" t="s">
        <v>189</v>
      </c>
      <c r="C149" t="s">
        <v>2042</v>
      </c>
      <c r="D149" t="s">
        <v>15</v>
      </c>
      <c r="E149" t="s">
        <v>17</v>
      </c>
      <c r="F149" t="s">
        <v>23</v>
      </c>
      <c r="G149">
        <v>57</v>
      </c>
      <c r="H149" s="13">
        <v>86205</v>
      </c>
      <c r="I149" s="13">
        <v>23050</v>
      </c>
      <c r="J149" t="s">
        <v>25</v>
      </c>
      <c r="K149" s="13">
        <f>HR_Data[[#This Row],[Salary]]+HR_Data[[#This Row],[Bonus]]</f>
        <v>109255</v>
      </c>
    </row>
    <row r="150" spans="1:11" x14ac:dyDescent="0.25">
      <c r="A150">
        <v>1149</v>
      </c>
      <c r="B150" t="s">
        <v>190</v>
      </c>
      <c r="C150" t="s">
        <v>8</v>
      </c>
      <c r="D150" t="s">
        <v>15</v>
      </c>
      <c r="E150" t="s">
        <v>17</v>
      </c>
      <c r="F150" t="s">
        <v>24</v>
      </c>
      <c r="G150">
        <v>31</v>
      </c>
      <c r="H150" s="13">
        <v>98199</v>
      </c>
      <c r="I150" s="13">
        <v>25895</v>
      </c>
      <c r="J150" t="s">
        <v>26</v>
      </c>
      <c r="K150" s="13">
        <f>HR_Data[[#This Row],[Salary]]+HR_Data[[#This Row],[Bonus]]</f>
        <v>124094</v>
      </c>
    </row>
    <row r="151" spans="1:11" x14ac:dyDescent="0.25">
      <c r="A151">
        <v>1150</v>
      </c>
      <c r="B151" t="s">
        <v>191</v>
      </c>
      <c r="C151" t="s">
        <v>11</v>
      </c>
      <c r="D151" t="s">
        <v>14</v>
      </c>
      <c r="E151" t="s">
        <v>20</v>
      </c>
      <c r="F151" t="s">
        <v>24</v>
      </c>
      <c r="G151">
        <v>42</v>
      </c>
      <c r="H151" s="13">
        <v>45318</v>
      </c>
      <c r="I151" s="13">
        <v>27556</v>
      </c>
      <c r="J151" t="s">
        <v>25</v>
      </c>
      <c r="K151" s="13">
        <f>HR_Data[[#This Row],[Salary]]+HR_Data[[#This Row],[Bonus]]</f>
        <v>72874</v>
      </c>
    </row>
    <row r="152" spans="1:11" x14ac:dyDescent="0.25">
      <c r="A152">
        <v>1151</v>
      </c>
      <c r="B152" t="s">
        <v>192</v>
      </c>
      <c r="C152" t="s">
        <v>2042</v>
      </c>
      <c r="D152" t="s">
        <v>15</v>
      </c>
      <c r="E152" t="s">
        <v>19</v>
      </c>
      <c r="F152" t="s">
        <v>23</v>
      </c>
      <c r="G152">
        <v>41</v>
      </c>
      <c r="H152" s="13">
        <v>53734</v>
      </c>
      <c r="I152" s="13">
        <v>6384</v>
      </c>
      <c r="J152" t="s">
        <v>26</v>
      </c>
      <c r="K152" s="13">
        <f>HR_Data[[#This Row],[Salary]]+HR_Data[[#This Row],[Bonus]]</f>
        <v>60118</v>
      </c>
    </row>
    <row r="153" spans="1:11" x14ac:dyDescent="0.25">
      <c r="A153">
        <v>1152</v>
      </c>
      <c r="B153" t="s">
        <v>193</v>
      </c>
      <c r="C153" t="s">
        <v>2042</v>
      </c>
      <c r="D153" t="s">
        <v>14</v>
      </c>
      <c r="E153" t="s">
        <v>16</v>
      </c>
      <c r="F153" t="s">
        <v>23</v>
      </c>
      <c r="G153">
        <v>29</v>
      </c>
      <c r="H153" s="13">
        <v>102227</v>
      </c>
      <c r="I153" s="13">
        <v>25787</v>
      </c>
      <c r="J153" t="s">
        <v>26</v>
      </c>
      <c r="K153" s="13">
        <f>HR_Data[[#This Row],[Salary]]+HR_Data[[#This Row],[Bonus]]</f>
        <v>128014</v>
      </c>
    </row>
    <row r="154" spans="1:11" x14ac:dyDescent="0.25">
      <c r="A154">
        <v>1153</v>
      </c>
      <c r="B154" t="s">
        <v>194</v>
      </c>
      <c r="C154" t="s">
        <v>9</v>
      </c>
      <c r="D154" t="s">
        <v>14</v>
      </c>
      <c r="E154" t="s">
        <v>17</v>
      </c>
      <c r="F154" t="s">
        <v>24</v>
      </c>
      <c r="G154">
        <v>57</v>
      </c>
      <c r="H154" s="13">
        <v>38522</v>
      </c>
      <c r="I154" s="13">
        <v>25338</v>
      </c>
      <c r="J154" t="s">
        <v>25</v>
      </c>
      <c r="K154" s="13">
        <f>HR_Data[[#This Row],[Salary]]+HR_Data[[#This Row],[Bonus]]</f>
        <v>63860</v>
      </c>
    </row>
    <row r="155" spans="1:11" x14ac:dyDescent="0.25">
      <c r="A155">
        <v>1154</v>
      </c>
      <c r="B155" t="s">
        <v>195</v>
      </c>
      <c r="C155" t="s">
        <v>2042</v>
      </c>
      <c r="D155" t="s">
        <v>15</v>
      </c>
      <c r="E155" t="s">
        <v>19</v>
      </c>
      <c r="F155" t="s">
        <v>21</v>
      </c>
      <c r="G155">
        <v>50</v>
      </c>
      <c r="H155" s="13">
        <v>31656</v>
      </c>
      <c r="I155" s="13">
        <v>27689</v>
      </c>
      <c r="J155" t="s">
        <v>26</v>
      </c>
      <c r="K155" s="13">
        <f>HR_Data[[#This Row],[Salary]]+HR_Data[[#This Row],[Bonus]]</f>
        <v>59345</v>
      </c>
    </row>
    <row r="156" spans="1:11" x14ac:dyDescent="0.25">
      <c r="A156">
        <v>1155</v>
      </c>
      <c r="B156" t="s">
        <v>196</v>
      </c>
      <c r="C156" t="s">
        <v>8</v>
      </c>
      <c r="D156" t="s">
        <v>15</v>
      </c>
      <c r="E156" t="s">
        <v>17</v>
      </c>
      <c r="F156" t="s">
        <v>24</v>
      </c>
      <c r="G156">
        <v>33</v>
      </c>
      <c r="H156" s="13">
        <v>35893</v>
      </c>
      <c r="I156" s="13">
        <v>13252</v>
      </c>
      <c r="J156" t="s">
        <v>25</v>
      </c>
      <c r="K156" s="13">
        <f>HR_Data[[#This Row],[Salary]]+HR_Data[[#This Row],[Bonus]]</f>
        <v>49145</v>
      </c>
    </row>
    <row r="157" spans="1:11" x14ac:dyDescent="0.25">
      <c r="A157">
        <v>1156</v>
      </c>
      <c r="B157" t="s">
        <v>197</v>
      </c>
      <c r="C157" t="s">
        <v>2042</v>
      </c>
      <c r="D157" t="s">
        <v>15</v>
      </c>
      <c r="E157" t="s">
        <v>17</v>
      </c>
      <c r="F157" t="s">
        <v>23</v>
      </c>
      <c r="G157">
        <v>35</v>
      </c>
      <c r="H157" s="13">
        <v>36493</v>
      </c>
      <c r="I157" s="13">
        <v>12238</v>
      </c>
      <c r="J157" t="s">
        <v>26</v>
      </c>
      <c r="K157" s="13">
        <f>HR_Data[[#This Row],[Salary]]+HR_Data[[#This Row],[Bonus]]</f>
        <v>48731</v>
      </c>
    </row>
    <row r="158" spans="1:11" x14ac:dyDescent="0.25">
      <c r="A158">
        <v>1157</v>
      </c>
      <c r="B158" t="s">
        <v>198</v>
      </c>
      <c r="C158" t="s">
        <v>9</v>
      </c>
      <c r="D158" t="s">
        <v>15</v>
      </c>
      <c r="E158" t="s">
        <v>16</v>
      </c>
      <c r="F158" t="s">
        <v>24</v>
      </c>
      <c r="G158">
        <v>42</v>
      </c>
      <c r="H158" s="13">
        <v>23632</v>
      </c>
      <c r="I158" s="13">
        <v>28365</v>
      </c>
      <c r="J158" t="s">
        <v>25</v>
      </c>
      <c r="K158" s="13">
        <f>HR_Data[[#This Row],[Salary]]+HR_Data[[#This Row],[Bonus]]</f>
        <v>51997</v>
      </c>
    </row>
    <row r="159" spans="1:11" x14ac:dyDescent="0.25">
      <c r="A159">
        <v>1158</v>
      </c>
      <c r="B159" t="s">
        <v>199</v>
      </c>
      <c r="C159" t="s">
        <v>9</v>
      </c>
      <c r="D159" t="s">
        <v>14</v>
      </c>
      <c r="E159" t="s">
        <v>16</v>
      </c>
      <c r="F159" t="s">
        <v>21</v>
      </c>
      <c r="G159">
        <v>43</v>
      </c>
      <c r="H159" s="13">
        <v>115872</v>
      </c>
      <c r="I159" s="13">
        <v>11026</v>
      </c>
      <c r="J159" t="s">
        <v>26</v>
      </c>
      <c r="K159" s="13">
        <f>HR_Data[[#This Row],[Salary]]+HR_Data[[#This Row],[Bonus]]</f>
        <v>126898</v>
      </c>
    </row>
    <row r="160" spans="1:11" x14ac:dyDescent="0.25">
      <c r="A160">
        <v>1159</v>
      </c>
      <c r="B160" t="s">
        <v>200</v>
      </c>
      <c r="C160" t="s">
        <v>11</v>
      </c>
      <c r="D160" t="s">
        <v>14</v>
      </c>
      <c r="E160" t="s">
        <v>17</v>
      </c>
      <c r="F160" t="s">
        <v>22</v>
      </c>
      <c r="G160">
        <v>42</v>
      </c>
      <c r="H160" s="13">
        <v>108648</v>
      </c>
      <c r="I160" s="13">
        <v>27993</v>
      </c>
      <c r="J160" t="s">
        <v>26</v>
      </c>
      <c r="K160" s="13">
        <f>HR_Data[[#This Row],[Salary]]+HR_Data[[#This Row],[Bonus]]</f>
        <v>136641</v>
      </c>
    </row>
    <row r="161" spans="1:11" x14ac:dyDescent="0.25">
      <c r="A161">
        <v>1160</v>
      </c>
      <c r="B161" t="s">
        <v>201</v>
      </c>
      <c r="C161" t="s">
        <v>8</v>
      </c>
      <c r="D161" t="s">
        <v>14</v>
      </c>
      <c r="E161" t="s">
        <v>18</v>
      </c>
      <c r="F161" t="s">
        <v>22</v>
      </c>
      <c r="G161">
        <v>51</v>
      </c>
      <c r="H161" s="13">
        <v>81779</v>
      </c>
      <c r="I161" s="13">
        <v>15482</v>
      </c>
      <c r="J161" t="s">
        <v>25</v>
      </c>
      <c r="K161" s="13">
        <f>HR_Data[[#This Row],[Salary]]+HR_Data[[#This Row],[Bonus]]</f>
        <v>97261</v>
      </c>
    </row>
    <row r="162" spans="1:11" x14ac:dyDescent="0.25">
      <c r="A162">
        <v>1161</v>
      </c>
      <c r="B162" t="s">
        <v>202</v>
      </c>
      <c r="C162" t="s">
        <v>10</v>
      </c>
      <c r="D162" t="s">
        <v>14</v>
      </c>
      <c r="E162" t="s">
        <v>17</v>
      </c>
      <c r="F162" t="s">
        <v>24</v>
      </c>
      <c r="G162">
        <v>41</v>
      </c>
      <c r="H162" s="13">
        <v>58452</v>
      </c>
      <c r="I162" s="13">
        <v>18801</v>
      </c>
      <c r="J162" t="s">
        <v>25</v>
      </c>
      <c r="K162" s="13">
        <f>HR_Data[[#This Row],[Salary]]+HR_Data[[#This Row],[Bonus]]</f>
        <v>77253</v>
      </c>
    </row>
    <row r="163" spans="1:11" x14ac:dyDescent="0.25">
      <c r="A163">
        <v>1162</v>
      </c>
      <c r="B163" t="s">
        <v>203</v>
      </c>
      <c r="C163" t="s">
        <v>10</v>
      </c>
      <c r="D163" t="s">
        <v>14</v>
      </c>
      <c r="E163" t="s">
        <v>17</v>
      </c>
      <c r="F163" t="s">
        <v>21</v>
      </c>
      <c r="G163">
        <v>45</v>
      </c>
      <c r="H163" s="13">
        <v>33266</v>
      </c>
      <c r="I163" s="13">
        <v>21120</v>
      </c>
      <c r="J163" t="s">
        <v>25</v>
      </c>
      <c r="K163" s="13">
        <f>HR_Data[[#This Row],[Salary]]+HR_Data[[#This Row],[Bonus]]</f>
        <v>54386</v>
      </c>
    </row>
    <row r="164" spans="1:11" x14ac:dyDescent="0.25">
      <c r="A164">
        <v>1163</v>
      </c>
      <c r="B164" t="s">
        <v>204</v>
      </c>
      <c r="C164" t="s">
        <v>2042</v>
      </c>
      <c r="D164" t="s">
        <v>15</v>
      </c>
      <c r="E164" t="s">
        <v>20</v>
      </c>
      <c r="F164" t="s">
        <v>22</v>
      </c>
      <c r="G164">
        <v>44</v>
      </c>
      <c r="H164" s="13">
        <v>81607</v>
      </c>
      <c r="I164" s="13">
        <v>20580</v>
      </c>
      <c r="J164" t="s">
        <v>25</v>
      </c>
      <c r="K164" s="13">
        <f>HR_Data[[#This Row],[Salary]]+HR_Data[[#This Row],[Bonus]]</f>
        <v>102187</v>
      </c>
    </row>
    <row r="165" spans="1:11" x14ac:dyDescent="0.25">
      <c r="A165">
        <v>1164</v>
      </c>
      <c r="B165" t="s">
        <v>205</v>
      </c>
      <c r="C165" t="s">
        <v>11</v>
      </c>
      <c r="D165" t="s">
        <v>14</v>
      </c>
      <c r="E165" t="s">
        <v>20</v>
      </c>
      <c r="F165" t="s">
        <v>24</v>
      </c>
      <c r="G165">
        <v>28</v>
      </c>
      <c r="H165" s="13">
        <v>36940</v>
      </c>
      <c r="I165" s="13">
        <v>13664</v>
      </c>
      <c r="J165" t="s">
        <v>26</v>
      </c>
      <c r="K165" s="13">
        <f>HR_Data[[#This Row],[Salary]]+HR_Data[[#This Row],[Bonus]]</f>
        <v>50604</v>
      </c>
    </row>
    <row r="166" spans="1:11" x14ac:dyDescent="0.25">
      <c r="A166">
        <v>1165</v>
      </c>
      <c r="B166" t="s">
        <v>206</v>
      </c>
      <c r="C166" t="s">
        <v>12</v>
      </c>
      <c r="D166" t="s">
        <v>14</v>
      </c>
      <c r="E166" t="s">
        <v>20</v>
      </c>
      <c r="F166" t="s">
        <v>24</v>
      </c>
      <c r="G166">
        <v>30</v>
      </c>
      <c r="H166" s="13">
        <v>44003</v>
      </c>
      <c r="I166" s="13">
        <v>22342</v>
      </c>
      <c r="J166" t="s">
        <v>25</v>
      </c>
      <c r="K166" s="13">
        <f>HR_Data[[#This Row],[Salary]]+HR_Data[[#This Row],[Bonus]]</f>
        <v>66345</v>
      </c>
    </row>
    <row r="167" spans="1:11" x14ac:dyDescent="0.25">
      <c r="A167">
        <v>1166</v>
      </c>
      <c r="B167" t="s">
        <v>207</v>
      </c>
      <c r="C167" t="s">
        <v>2042</v>
      </c>
      <c r="D167" t="s">
        <v>14</v>
      </c>
      <c r="E167" t="s">
        <v>18</v>
      </c>
      <c r="F167" t="s">
        <v>21</v>
      </c>
      <c r="G167">
        <v>22</v>
      </c>
      <c r="H167" s="13">
        <v>118408</v>
      </c>
      <c r="I167" s="13">
        <v>5493</v>
      </c>
      <c r="J167" t="s">
        <v>26</v>
      </c>
      <c r="K167" s="13">
        <f>HR_Data[[#This Row],[Salary]]+HR_Data[[#This Row],[Bonus]]</f>
        <v>123901</v>
      </c>
    </row>
    <row r="168" spans="1:11" x14ac:dyDescent="0.25">
      <c r="A168">
        <v>1167</v>
      </c>
      <c r="B168" t="s">
        <v>208</v>
      </c>
      <c r="C168" t="s">
        <v>11</v>
      </c>
      <c r="D168" t="s">
        <v>15</v>
      </c>
      <c r="E168" t="s">
        <v>18</v>
      </c>
      <c r="F168" t="s">
        <v>23</v>
      </c>
      <c r="G168">
        <v>47</v>
      </c>
      <c r="H168" s="13">
        <v>54815</v>
      </c>
      <c r="I168" s="13">
        <v>28426</v>
      </c>
      <c r="J168" t="s">
        <v>25</v>
      </c>
      <c r="K168" s="13">
        <f>HR_Data[[#This Row],[Salary]]+HR_Data[[#This Row],[Bonus]]</f>
        <v>83241</v>
      </c>
    </row>
    <row r="169" spans="1:11" x14ac:dyDescent="0.25">
      <c r="A169">
        <v>1168</v>
      </c>
      <c r="B169" t="s">
        <v>209</v>
      </c>
      <c r="C169" t="s">
        <v>8</v>
      </c>
      <c r="D169" t="s">
        <v>15</v>
      </c>
      <c r="E169" t="s">
        <v>17</v>
      </c>
      <c r="F169" t="s">
        <v>24</v>
      </c>
      <c r="G169">
        <v>59</v>
      </c>
      <c r="H169" s="13">
        <v>50869</v>
      </c>
      <c r="I169" s="13">
        <v>21465</v>
      </c>
      <c r="J169" t="s">
        <v>25</v>
      </c>
      <c r="K169" s="13">
        <f>HR_Data[[#This Row],[Salary]]+HR_Data[[#This Row],[Bonus]]</f>
        <v>72334</v>
      </c>
    </row>
    <row r="170" spans="1:11" x14ac:dyDescent="0.25">
      <c r="A170">
        <v>1169</v>
      </c>
      <c r="B170" t="s">
        <v>210</v>
      </c>
      <c r="C170" t="s">
        <v>8</v>
      </c>
      <c r="D170" t="s">
        <v>15</v>
      </c>
      <c r="E170" t="s">
        <v>20</v>
      </c>
      <c r="F170" t="s">
        <v>23</v>
      </c>
      <c r="G170">
        <v>59</v>
      </c>
      <c r="H170" s="13">
        <v>69297</v>
      </c>
      <c r="I170" s="13">
        <v>11999</v>
      </c>
      <c r="J170" t="s">
        <v>25</v>
      </c>
      <c r="K170" s="13">
        <f>HR_Data[[#This Row],[Salary]]+HR_Data[[#This Row],[Bonus]]</f>
        <v>81296</v>
      </c>
    </row>
    <row r="171" spans="1:11" x14ac:dyDescent="0.25">
      <c r="A171">
        <v>1170</v>
      </c>
      <c r="B171" t="s">
        <v>211</v>
      </c>
      <c r="C171" t="s">
        <v>8</v>
      </c>
      <c r="D171" t="s">
        <v>15</v>
      </c>
      <c r="E171" t="s">
        <v>18</v>
      </c>
      <c r="F171" t="s">
        <v>23</v>
      </c>
      <c r="G171">
        <v>43</v>
      </c>
      <c r="H171" s="13">
        <v>80107</v>
      </c>
      <c r="I171" s="13">
        <v>18833</v>
      </c>
      <c r="J171" t="s">
        <v>25</v>
      </c>
      <c r="K171" s="13">
        <f>HR_Data[[#This Row],[Salary]]+HR_Data[[#This Row],[Bonus]]</f>
        <v>98940</v>
      </c>
    </row>
    <row r="172" spans="1:11" x14ac:dyDescent="0.25">
      <c r="A172">
        <v>1171</v>
      </c>
      <c r="B172" t="s">
        <v>212</v>
      </c>
      <c r="C172" t="s">
        <v>8</v>
      </c>
      <c r="D172" t="s">
        <v>14</v>
      </c>
      <c r="E172" t="s">
        <v>16</v>
      </c>
      <c r="F172" t="s">
        <v>22</v>
      </c>
      <c r="G172">
        <v>31</v>
      </c>
      <c r="H172" s="13">
        <v>102793</v>
      </c>
      <c r="I172" s="13">
        <v>7970</v>
      </c>
      <c r="J172" t="s">
        <v>26</v>
      </c>
      <c r="K172" s="13">
        <f>HR_Data[[#This Row],[Salary]]+HR_Data[[#This Row],[Bonus]]</f>
        <v>110763</v>
      </c>
    </row>
    <row r="173" spans="1:11" x14ac:dyDescent="0.25">
      <c r="A173">
        <v>1172</v>
      </c>
      <c r="B173" t="s">
        <v>213</v>
      </c>
      <c r="C173" t="s">
        <v>8</v>
      </c>
      <c r="D173" t="s">
        <v>14</v>
      </c>
      <c r="E173" t="s">
        <v>17</v>
      </c>
      <c r="F173" t="s">
        <v>23</v>
      </c>
      <c r="G173">
        <v>27</v>
      </c>
      <c r="H173" s="13">
        <v>36682</v>
      </c>
      <c r="I173" s="13">
        <v>5011</v>
      </c>
      <c r="J173" t="s">
        <v>25</v>
      </c>
      <c r="K173" s="13">
        <f>HR_Data[[#This Row],[Salary]]+HR_Data[[#This Row],[Bonus]]</f>
        <v>41693</v>
      </c>
    </row>
    <row r="174" spans="1:11" x14ac:dyDescent="0.25">
      <c r="A174">
        <v>1173</v>
      </c>
      <c r="B174" t="s">
        <v>214</v>
      </c>
      <c r="C174" t="s">
        <v>11</v>
      </c>
      <c r="D174" t="s">
        <v>15</v>
      </c>
      <c r="E174" t="s">
        <v>19</v>
      </c>
      <c r="F174" t="s">
        <v>21</v>
      </c>
      <c r="G174">
        <v>38</v>
      </c>
      <c r="H174" s="13">
        <v>39622</v>
      </c>
      <c r="I174" s="13">
        <v>29208</v>
      </c>
      <c r="J174" t="s">
        <v>25</v>
      </c>
      <c r="K174" s="13">
        <f>HR_Data[[#This Row],[Salary]]+HR_Data[[#This Row],[Bonus]]</f>
        <v>68830</v>
      </c>
    </row>
    <row r="175" spans="1:11" x14ac:dyDescent="0.25">
      <c r="A175">
        <v>1174</v>
      </c>
      <c r="B175" t="s">
        <v>215</v>
      </c>
      <c r="C175" t="s">
        <v>11</v>
      </c>
      <c r="D175" t="s">
        <v>15</v>
      </c>
      <c r="E175" t="s">
        <v>17</v>
      </c>
      <c r="F175" t="s">
        <v>22</v>
      </c>
      <c r="G175">
        <v>59</v>
      </c>
      <c r="H175" s="13">
        <v>50408</v>
      </c>
      <c r="I175" s="13">
        <v>20551</v>
      </c>
      <c r="J175" t="s">
        <v>25</v>
      </c>
      <c r="K175" s="13">
        <f>HR_Data[[#This Row],[Salary]]+HR_Data[[#This Row],[Bonus]]</f>
        <v>70959</v>
      </c>
    </row>
    <row r="176" spans="1:11" x14ac:dyDescent="0.25">
      <c r="A176">
        <v>1175</v>
      </c>
      <c r="B176" t="s">
        <v>216</v>
      </c>
      <c r="C176" t="s">
        <v>9</v>
      </c>
      <c r="D176" t="s">
        <v>14</v>
      </c>
      <c r="E176" t="s">
        <v>19</v>
      </c>
      <c r="F176" t="s">
        <v>22</v>
      </c>
      <c r="G176">
        <v>45</v>
      </c>
      <c r="H176" s="13">
        <v>28837</v>
      </c>
      <c r="I176" s="13">
        <v>22145</v>
      </c>
      <c r="J176" t="s">
        <v>26</v>
      </c>
      <c r="K176" s="13">
        <f>HR_Data[[#This Row],[Salary]]+HR_Data[[#This Row],[Bonus]]</f>
        <v>50982</v>
      </c>
    </row>
    <row r="177" spans="1:11" x14ac:dyDescent="0.25">
      <c r="A177">
        <v>1176</v>
      </c>
      <c r="B177" t="s">
        <v>217</v>
      </c>
      <c r="C177" t="s">
        <v>10</v>
      </c>
      <c r="D177" t="s">
        <v>14</v>
      </c>
      <c r="E177" t="s">
        <v>20</v>
      </c>
      <c r="F177" t="s">
        <v>22</v>
      </c>
      <c r="G177">
        <v>31</v>
      </c>
      <c r="H177" s="13">
        <v>84210</v>
      </c>
      <c r="I177" s="13">
        <v>8185</v>
      </c>
      <c r="J177" t="s">
        <v>25</v>
      </c>
      <c r="K177" s="13">
        <f>HR_Data[[#This Row],[Salary]]+HR_Data[[#This Row],[Bonus]]</f>
        <v>92395</v>
      </c>
    </row>
    <row r="178" spans="1:11" x14ac:dyDescent="0.25">
      <c r="A178">
        <v>1177</v>
      </c>
      <c r="B178" t="s">
        <v>218</v>
      </c>
      <c r="C178" t="s">
        <v>8</v>
      </c>
      <c r="D178" t="s">
        <v>15</v>
      </c>
      <c r="E178" t="s">
        <v>19</v>
      </c>
      <c r="F178" t="s">
        <v>24</v>
      </c>
      <c r="G178">
        <v>29</v>
      </c>
      <c r="H178" s="13">
        <v>35407</v>
      </c>
      <c r="I178" s="13">
        <v>21409</v>
      </c>
      <c r="J178" t="s">
        <v>25</v>
      </c>
      <c r="K178" s="13">
        <f>HR_Data[[#This Row],[Salary]]+HR_Data[[#This Row],[Bonus]]</f>
        <v>56816</v>
      </c>
    </row>
    <row r="179" spans="1:11" x14ac:dyDescent="0.25">
      <c r="A179">
        <v>1178</v>
      </c>
      <c r="B179" t="s">
        <v>219</v>
      </c>
      <c r="C179" t="s">
        <v>12</v>
      </c>
      <c r="D179" t="s">
        <v>15</v>
      </c>
      <c r="E179" t="s">
        <v>20</v>
      </c>
      <c r="F179" t="s">
        <v>24</v>
      </c>
      <c r="G179">
        <v>42</v>
      </c>
      <c r="H179" s="13">
        <v>49309</v>
      </c>
      <c r="I179" s="13">
        <v>6806</v>
      </c>
      <c r="J179" t="s">
        <v>25</v>
      </c>
      <c r="K179" s="13">
        <f>HR_Data[[#This Row],[Salary]]+HR_Data[[#This Row],[Bonus]]</f>
        <v>56115</v>
      </c>
    </row>
    <row r="180" spans="1:11" x14ac:dyDescent="0.25">
      <c r="A180">
        <v>1179</v>
      </c>
      <c r="B180" t="s">
        <v>220</v>
      </c>
      <c r="C180" t="s">
        <v>11</v>
      </c>
      <c r="D180" t="s">
        <v>15</v>
      </c>
      <c r="E180" t="s">
        <v>16</v>
      </c>
      <c r="F180" t="s">
        <v>23</v>
      </c>
      <c r="G180">
        <v>27</v>
      </c>
      <c r="H180" s="13">
        <v>91918</v>
      </c>
      <c r="I180" s="13">
        <v>28035</v>
      </c>
      <c r="J180" t="s">
        <v>25</v>
      </c>
      <c r="K180" s="13">
        <f>HR_Data[[#This Row],[Salary]]+HR_Data[[#This Row],[Bonus]]</f>
        <v>119953</v>
      </c>
    </row>
    <row r="181" spans="1:11" x14ac:dyDescent="0.25">
      <c r="A181">
        <v>1180</v>
      </c>
      <c r="B181" t="s">
        <v>221</v>
      </c>
      <c r="C181" t="s">
        <v>12</v>
      </c>
      <c r="D181" t="s">
        <v>15</v>
      </c>
      <c r="E181" t="s">
        <v>19</v>
      </c>
      <c r="F181" t="s">
        <v>22</v>
      </c>
      <c r="G181">
        <v>42</v>
      </c>
      <c r="H181" s="13">
        <v>113190</v>
      </c>
      <c r="I181" s="13">
        <v>10664</v>
      </c>
      <c r="J181" t="s">
        <v>25</v>
      </c>
      <c r="K181" s="13">
        <f>HR_Data[[#This Row],[Salary]]+HR_Data[[#This Row],[Bonus]]</f>
        <v>123854</v>
      </c>
    </row>
    <row r="182" spans="1:11" x14ac:dyDescent="0.25">
      <c r="A182">
        <v>1181</v>
      </c>
      <c r="B182" t="s">
        <v>222</v>
      </c>
      <c r="C182" t="s">
        <v>12</v>
      </c>
      <c r="D182" t="s">
        <v>14</v>
      </c>
      <c r="E182" t="s">
        <v>17</v>
      </c>
      <c r="F182" t="s">
        <v>22</v>
      </c>
      <c r="G182">
        <v>45</v>
      </c>
      <c r="H182" s="13">
        <v>38895</v>
      </c>
      <c r="I182" s="13">
        <v>19126</v>
      </c>
      <c r="J182" t="s">
        <v>27</v>
      </c>
      <c r="K182" s="13">
        <f>HR_Data[[#This Row],[Salary]]+HR_Data[[#This Row],[Bonus]]</f>
        <v>58021</v>
      </c>
    </row>
    <row r="183" spans="1:11" x14ac:dyDescent="0.25">
      <c r="A183">
        <v>1182</v>
      </c>
      <c r="B183" t="s">
        <v>223</v>
      </c>
      <c r="C183" t="s">
        <v>12</v>
      </c>
      <c r="D183" t="s">
        <v>14</v>
      </c>
      <c r="E183" t="s">
        <v>20</v>
      </c>
      <c r="F183" t="s">
        <v>21</v>
      </c>
      <c r="G183">
        <v>54</v>
      </c>
      <c r="H183" s="13">
        <v>119087</v>
      </c>
      <c r="I183" s="13">
        <v>17894</v>
      </c>
      <c r="J183" t="s">
        <v>25</v>
      </c>
      <c r="K183" s="13">
        <f>HR_Data[[#This Row],[Salary]]+HR_Data[[#This Row],[Bonus]]</f>
        <v>136981</v>
      </c>
    </row>
    <row r="184" spans="1:11" x14ac:dyDescent="0.25">
      <c r="A184">
        <v>1183</v>
      </c>
      <c r="B184" t="s">
        <v>224</v>
      </c>
      <c r="C184" t="s">
        <v>9</v>
      </c>
      <c r="D184" t="s">
        <v>14</v>
      </c>
      <c r="E184" t="s">
        <v>17</v>
      </c>
      <c r="F184" t="s">
        <v>23</v>
      </c>
      <c r="G184">
        <v>39</v>
      </c>
      <c r="H184" s="13">
        <v>106912</v>
      </c>
      <c r="I184" s="13">
        <v>10154</v>
      </c>
      <c r="J184" t="s">
        <v>25</v>
      </c>
      <c r="K184" s="13">
        <f>HR_Data[[#This Row],[Salary]]+HR_Data[[#This Row],[Bonus]]</f>
        <v>117066</v>
      </c>
    </row>
    <row r="185" spans="1:11" x14ac:dyDescent="0.25">
      <c r="A185">
        <v>1184</v>
      </c>
      <c r="B185" t="s">
        <v>225</v>
      </c>
      <c r="C185" t="s">
        <v>11</v>
      </c>
      <c r="D185" t="s">
        <v>15</v>
      </c>
      <c r="E185" t="s">
        <v>18</v>
      </c>
      <c r="F185" t="s">
        <v>21</v>
      </c>
      <c r="G185">
        <v>49</v>
      </c>
      <c r="H185" s="13">
        <v>20370</v>
      </c>
      <c r="I185" s="13">
        <v>27208</v>
      </c>
      <c r="J185" t="s">
        <v>26</v>
      </c>
      <c r="K185" s="13">
        <f>HR_Data[[#This Row],[Salary]]+HR_Data[[#This Row],[Bonus]]</f>
        <v>47578</v>
      </c>
    </row>
    <row r="186" spans="1:11" x14ac:dyDescent="0.25">
      <c r="A186">
        <v>1185</v>
      </c>
      <c r="B186" t="s">
        <v>226</v>
      </c>
      <c r="C186" t="s">
        <v>12</v>
      </c>
      <c r="D186" t="s">
        <v>15</v>
      </c>
      <c r="E186" t="s">
        <v>20</v>
      </c>
      <c r="F186" t="s">
        <v>23</v>
      </c>
      <c r="G186">
        <v>53</v>
      </c>
      <c r="H186" s="13">
        <v>20486</v>
      </c>
      <c r="I186" s="13">
        <v>18767</v>
      </c>
      <c r="J186" t="s">
        <v>26</v>
      </c>
      <c r="K186" s="13">
        <f>HR_Data[[#This Row],[Salary]]+HR_Data[[#This Row],[Bonus]]</f>
        <v>39253</v>
      </c>
    </row>
    <row r="187" spans="1:11" x14ac:dyDescent="0.25">
      <c r="A187">
        <v>1186</v>
      </c>
      <c r="B187" t="s">
        <v>227</v>
      </c>
      <c r="C187" t="s">
        <v>8</v>
      </c>
      <c r="D187" t="s">
        <v>14</v>
      </c>
      <c r="E187" t="s">
        <v>19</v>
      </c>
      <c r="F187" t="s">
        <v>23</v>
      </c>
      <c r="G187">
        <v>33</v>
      </c>
      <c r="H187" s="13">
        <v>43762</v>
      </c>
      <c r="I187" s="13">
        <v>25043</v>
      </c>
      <c r="J187" t="s">
        <v>25</v>
      </c>
      <c r="K187" s="13">
        <f>HR_Data[[#This Row],[Salary]]+HR_Data[[#This Row],[Bonus]]</f>
        <v>68805</v>
      </c>
    </row>
    <row r="188" spans="1:11" x14ac:dyDescent="0.25">
      <c r="A188">
        <v>1187</v>
      </c>
      <c r="B188" t="s">
        <v>228</v>
      </c>
      <c r="C188" t="s">
        <v>2042</v>
      </c>
      <c r="D188" t="s">
        <v>14</v>
      </c>
      <c r="E188" t="s">
        <v>20</v>
      </c>
      <c r="F188" t="s">
        <v>24</v>
      </c>
      <c r="G188">
        <v>48</v>
      </c>
      <c r="H188" s="13">
        <v>46613</v>
      </c>
      <c r="I188" s="13">
        <v>20226</v>
      </c>
      <c r="J188" t="s">
        <v>25</v>
      </c>
      <c r="K188" s="13">
        <f>HR_Data[[#This Row],[Salary]]+HR_Data[[#This Row],[Bonus]]</f>
        <v>66839</v>
      </c>
    </row>
    <row r="189" spans="1:11" x14ac:dyDescent="0.25">
      <c r="A189">
        <v>1188</v>
      </c>
      <c r="B189" t="s">
        <v>229</v>
      </c>
      <c r="C189" t="s">
        <v>12</v>
      </c>
      <c r="D189" t="s">
        <v>14</v>
      </c>
      <c r="E189" t="s">
        <v>17</v>
      </c>
      <c r="F189" t="s">
        <v>24</v>
      </c>
      <c r="G189">
        <v>31</v>
      </c>
      <c r="H189" s="13">
        <v>23196</v>
      </c>
      <c r="I189" s="13">
        <v>6525</v>
      </c>
      <c r="J189" t="s">
        <v>25</v>
      </c>
      <c r="K189" s="13">
        <f>HR_Data[[#This Row],[Salary]]+HR_Data[[#This Row],[Bonus]]</f>
        <v>29721</v>
      </c>
    </row>
    <row r="190" spans="1:11" x14ac:dyDescent="0.25">
      <c r="A190">
        <v>1189</v>
      </c>
      <c r="B190" t="s">
        <v>230</v>
      </c>
      <c r="C190" t="s">
        <v>9</v>
      </c>
      <c r="D190" t="s">
        <v>14</v>
      </c>
      <c r="E190" t="s">
        <v>16</v>
      </c>
      <c r="F190" t="s">
        <v>21</v>
      </c>
      <c r="G190">
        <v>53</v>
      </c>
      <c r="H190" s="13">
        <v>114937</v>
      </c>
      <c r="I190" s="13">
        <v>5760</v>
      </c>
      <c r="J190" t="s">
        <v>26</v>
      </c>
      <c r="K190" s="13">
        <f>HR_Data[[#This Row],[Salary]]+HR_Data[[#This Row],[Bonus]]</f>
        <v>120697</v>
      </c>
    </row>
    <row r="191" spans="1:11" x14ac:dyDescent="0.25">
      <c r="A191">
        <v>1190</v>
      </c>
      <c r="B191" t="s">
        <v>231</v>
      </c>
      <c r="C191" t="s">
        <v>11</v>
      </c>
      <c r="D191" t="s">
        <v>15</v>
      </c>
      <c r="E191" t="s">
        <v>20</v>
      </c>
      <c r="F191" t="s">
        <v>23</v>
      </c>
      <c r="G191">
        <v>47</v>
      </c>
      <c r="H191" s="13">
        <v>96349</v>
      </c>
      <c r="I191" s="13">
        <v>21978</v>
      </c>
      <c r="J191" t="s">
        <v>27</v>
      </c>
      <c r="K191" s="13">
        <f>HR_Data[[#This Row],[Salary]]+HR_Data[[#This Row],[Bonus]]</f>
        <v>118327</v>
      </c>
    </row>
    <row r="192" spans="1:11" x14ac:dyDescent="0.25">
      <c r="A192">
        <v>1191</v>
      </c>
      <c r="B192" t="s">
        <v>232</v>
      </c>
      <c r="C192" t="s">
        <v>9</v>
      </c>
      <c r="D192" t="s">
        <v>14</v>
      </c>
      <c r="E192" t="s">
        <v>19</v>
      </c>
      <c r="F192" t="s">
        <v>22</v>
      </c>
      <c r="G192">
        <v>46</v>
      </c>
      <c r="H192" s="13">
        <v>84839</v>
      </c>
      <c r="I192" s="13">
        <v>28576</v>
      </c>
      <c r="J192" t="s">
        <v>26</v>
      </c>
      <c r="K192" s="13">
        <f>HR_Data[[#This Row],[Salary]]+HR_Data[[#This Row],[Bonus]]</f>
        <v>113415</v>
      </c>
    </row>
    <row r="193" spans="1:11" x14ac:dyDescent="0.25">
      <c r="A193">
        <v>1192</v>
      </c>
      <c r="B193" t="s">
        <v>233</v>
      </c>
      <c r="C193" t="s">
        <v>12</v>
      </c>
      <c r="D193" t="s">
        <v>14</v>
      </c>
      <c r="E193" t="s">
        <v>18</v>
      </c>
      <c r="F193" t="s">
        <v>24</v>
      </c>
      <c r="G193">
        <v>32</v>
      </c>
      <c r="H193" s="13">
        <v>61916</v>
      </c>
      <c r="I193" s="13">
        <v>18880</v>
      </c>
      <c r="J193" t="s">
        <v>25</v>
      </c>
      <c r="K193" s="13">
        <f>HR_Data[[#This Row],[Salary]]+HR_Data[[#This Row],[Bonus]]</f>
        <v>80796</v>
      </c>
    </row>
    <row r="194" spans="1:11" x14ac:dyDescent="0.25">
      <c r="A194">
        <v>1193</v>
      </c>
      <c r="B194" t="s">
        <v>234</v>
      </c>
      <c r="C194" t="s">
        <v>11</v>
      </c>
      <c r="D194" t="s">
        <v>14</v>
      </c>
      <c r="E194" t="s">
        <v>16</v>
      </c>
      <c r="F194" t="s">
        <v>22</v>
      </c>
      <c r="G194">
        <v>44</v>
      </c>
      <c r="H194" s="13">
        <v>28572</v>
      </c>
      <c r="I194" s="13">
        <v>6055</v>
      </c>
      <c r="J194" t="s">
        <v>25</v>
      </c>
      <c r="K194" s="13">
        <f>HR_Data[[#This Row],[Salary]]+HR_Data[[#This Row],[Bonus]]</f>
        <v>34627</v>
      </c>
    </row>
    <row r="195" spans="1:11" x14ac:dyDescent="0.25">
      <c r="A195">
        <v>1194</v>
      </c>
      <c r="B195" t="s">
        <v>235</v>
      </c>
      <c r="C195" t="s">
        <v>2042</v>
      </c>
      <c r="D195" t="s">
        <v>14</v>
      </c>
      <c r="E195" t="s">
        <v>18</v>
      </c>
      <c r="F195" t="s">
        <v>21</v>
      </c>
      <c r="G195">
        <v>55</v>
      </c>
      <c r="H195" s="13">
        <v>48225</v>
      </c>
      <c r="I195" s="13">
        <v>15046</v>
      </c>
      <c r="J195" t="s">
        <v>26</v>
      </c>
      <c r="K195" s="13">
        <f>HR_Data[[#This Row],[Salary]]+HR_Data[[#This Row],[Bonus]]</f>
        <v>63271</v>
      </c>
    </row>
    <row r="196" spans="1:11" x14ac:dyDescent="0.25">
      <c r="A196">
        <v>1195</v>
      </c>
      <c r="B196" t="s">
        <v>236</v>
      </c>
      <c r="C196" t="s">
        <v>12</v>
      </c>
      <c r="D196" t="s">
        <v>14</v>
      </c>
      <c r="E196" t="s">
        <v>20</v>
      </c>
      <c r="F196" t="s">
        <v>24</v>
      </c>
      <c r="G196">
        <v>44</v>
      </c>
      <c r="H196" s="13">
        <v>65853</v>
      </c>
      <c r="I196" s="13">
        <v>8083</v>
      </c>
      <c r="J196" t="s">
        <v>26</v>
      </c>
      <c r="K196" s="13">
        <f>HR_Data[[#This Row],[Salary]]+HR_Data[[#This Row],[Bonus]]</f>
        <v>73936</v>
      </c>
    </row>
    <row r="197" spans="1:11" x14ac:dyDescent="0.25">
      <c r="A197">
        <v>1196</v>
      </c>
      <c r="B197" t="s">
        <v>237</v>
      </c>
      <c r="C197" t="s">
        <v>9</v>
      </c>
      <c r="D197" t="s">
        <v>14</v>
      </c>
      <c r="E197" t="s">
        <v>17</v>
      </c>
      <c r="F197" t="s">
        <v>24</v>
      </c>
      <c r="G197">
        <v>50</v>
      </c>
      <c r="H197" s="13">
        <v>69390</v>
      </c>
      <c r="I197" s="13">
        <v>20678</v>
      </c>
      <c r="J197" t="s">
        <v>25</v>
      </c>
      <c r="K197" s="13">
        <f>HR_Data[[#This Row],[Salary]]+HR_Data[[#This Row],[Bonus]]</f>
        <v>90068</v>
      </c>
    </row>
    <row r="198" spans="1:11" x14ac:dyDescent="0.25">
      <c r="A198">
        <v>1197</v>
      </c>
      <c r="B198" t="s">
        <v>238</v>
      </c>
      <c r="C198" t="s">
        <v>10</v>
      </c>
      <c r="D198" t="s">
        <v>14</v>
      </c>
      <c r="E198" t="s">
        <v>17</v>
      </c>
      <c r="F198" t="s">
        <v>23</v>
      </c>
      <c r="G198">
        <v>52</v>
      </c>
      <c r="H198" s="13">
        <v>52275</v>
      </c>
      <c r="I198" s="13">
        <v>17108</v>
      </c>
      <c r="J198" t="s">
        <v>27</v>
      </c>
      <c r="K198" s="13">
        <f>HR_Data[[#This Row],[Salary]]+HR_Data[[#This Row],[Bonus]]</f>
        <v>69383</v>
      </c>
    </row>
    <row r="199" spans="1:11" x14ac:dyDescent="0.25">
      <c r="A199">
        <v>1198</v>
      </c>
      <c r="B199" t="s">
        <v>239</v>
      </c>
      <c r="C199" t="s">
        <v>8</v>
      </c>
      <c r="D199" t="s">
        <v>15</v>
      </c>
      <c r="E199" t="s">
        <v>19</v>
      </c>
      <c r="F199" t="s">
        <v>21</v>
      </c>
      <c r="G199">
        <v>28</v>
      </c>
      <c r="H199" s="13">
        <v>92379</v>
      </c>
      <c r="I199" s="13">
        <v>25059</v>
      </c>
      <c r="J199" t="s">
        <v>25</v>
      </c>
      <c r="K199" s="13">
        <f>HR_Data[[#This Row],[Salary]]+HR_Data[[#This Row],[Bonus]]</f>
        <v>117438</v>
      </c>
    </row>
    <row r="200" spans="1:11" x14ac:dyDescent="0.25">
      <c r="A200">
        <v>1199</v>
      </c>
      <c r="B200" t="s">
        <v>240</v>
      </c>
      <c r="C200" t="s">
        <v>9</v>
      </c>
      <c r="D200" t="s">
        <v>15</v>
      </c>
      <c r="E200" t="s">
        <v>17</v>
      </c>
      <c r="F200" t="s">
        <v>23</v>
      </c>
      <c r="G200">
        <v>54</v>
      </c>
      <c r="H200" s="13">
        <v>21105</v>
      </c>
      <c r="I200" s="13">
        <v>14650</v>
      </c>
      <c r="J200" t="s">
        <v>25</v>
      </c>
      <c r="K200" s="13">
        <f>HR_Data[[#This Row],[Salary]]+HR_Data[[#This Row],[Bonus]]</f>
        <v>35755</v>
      </c>
    </row>
    <row r="201" spans="1:11" x14ac:dyDescent="0.25">
      <c r="A201">
        <v>1200</v>
      </c>
      <c r="B201" t="s">
        <v>241</v>
      </c>
      <c r="C201" t="s">
        <v>11</v>
      </c>
      <c r="D201" t="s">
        <v>15</v>
      </c>
      <c r="E201" t="s">
        <v>16</v>
      </c>
      <c r="F201" t="s">
        <v>24</v>
      </c>
      <c r="G201">
        <v>42</v>
      </c>
      <c r="H201" s="13">
        <v>79896</v>
      </c>
      <c r="I201" s="13">
        <v>10957</v>
      </c>
      <c r="J201" t="s">
        <v>25</v>
      </c>
      <c r="K201" s="13">
        <f>HR_Data[[#This Row],[Salary]]+HR_Data[[#This Row],[Bonus]]</f>
        <v>90853</v>
      </c>
    </row>
    <row r="202" spans="1:11" x14ac:dyDescent="0.25">
      <c r="A202">
        <v>1201</v>
      </c>
      <c r="B202" t="s">
        <v>242</v>
      </c>
      <c r="C202" t="s">
        <v>12</v>
      </c>
      <c r="D202" t="s">
        <v>27</v>
      </c>
      <c r="E202" t="s">
        <v>17</v>
      </c>
      <c r="F202" t="s">
        <v>21</v>
      </c>
      <c r="G202">
        <v>23</v>
      </c>
      <c r="H202" s="13">
        <v>63209</v>
      </c>
      <c r="I202" s="13">
        <v>10255</v>
      </c>
      <c r="J202" t="s">
        <v>26</v>
      </c>
      <c r="K202" s="13">
        <f>HR_Data[[#This Row],[Salary]]+HR_Data[[#This Row],[Bonus]]</f>
        <v>73464</v>
      </c>
    </row>
    <row r="203" spans="1:11" x14ac:dyDescent="0.25">
      <c r="A203">
        <v>1202</v>
      </c>
      <c r="B203" t="s">
        <v>243</v>
      </c>
      <c r="C203" t="s">
        <v>8</v>
      </c>
      <c r="D203" t="s">
        <v>14</v>
      </c>
      <c r="E203" t="s">
        <v>19</v>
      </c>
      <c r="F203" t="s">
        <v>24</v>
      </c>
      <c r="G203">
        <v>39</v>
      </c>
      <c r="H203" s="13">
        <v>117175</v>
      </c>
      <c r="I203" s="13">
        <v>14411</v>
      </c>
      <c r="J203" t="s">
        <v>25</v>
      </c>
      <c r="K203" s="13">
        <f>HR_Data[[#This Row],[Salary]]+HR_Data[[#This Row],[Bonus]]</f>
        <v>131586</v>
      </c>
    </row>
    <row r="204" spans="1:11" x14ac:dyDescent="0.25">
      <c r="A204">
        <v>1203</v>
      </c>
      <c r="B204" t="s">
        <v>244</v>
      </c>
      <c r="C204" t="s">
        <v>12</v>
      </c>
      <c r="D204" t="s">
        <v>15</v>
      </c>
      <c r="E204" t="s">
        <v>20</v>
      </c>
      <c r="F204" t="s">
        <v>21</v>
      </c>
      <c r="G204">
        <v>54</v>
      </c>
      <c r="H204" s="13">
        <v>62487</v>
      </c>
      <c r="I204" s="13">
        <v>25612</v>
      </c>
      <c r="J204" t="s">
        <v>25</v>
      </c>
      <c r="K204" s="13">
        <f>HR_Data[[#This Row],[Salary]]+HR_Data[[#This Row],[Bonus]]</f>
        <v>88099</v>
      </c>
    </row>
    <row r="205" spans="1:11" x14ac:dyDescent="0.25">
      <c r="A205">
        <v>1204</v>
      </c>
      <c r="B205" t="s">
        <v>245</v>
      </c>
      <c r="C205" t="s">
        <v>11</v>
      </c>
      <c r="D205" t="s">
        <v>15</v>
      </c>
      <c r="E205" t="s">
        <v>20</v>
      </c>
      <c r="F205" t="s">
        <v>24</v>
      </c>
      <c r="G205">
        <v>58</v>
      </c>
      <c r="H205" s="13">
        <v>38051</v>
      </c>
      <c r="I205" s="13">
        <v>21344</v>
      </c>
      <c r="J205" t="s">
        <v>25</v>
      </c>
      <c r="K205" s="13">
        <f>HR_Data[[#This Row],[Salary]]+HR_Data[[#This Row],[Bonus]]</f>
        <v>59395</v>
      </c>
    </row>
    <row r="206" spans="1:11" x14ac:dyDescent="0.25">
      <c r="A206">
        <v>1205</v>
      </c>
      <c r="B206" t="s">
        <v>246</v>
      </c>
      <c r="C206" t="s">
        <v>12</v>
      </c>
      <c r="D206" t="s">
        <v>14</v>
      </c>
      <c r="E206" t="s">
        <v>17</v>
      </c>
      <c r="F206" t="s">
        <v>22</v>
      </c>
      <c r="G206">
        <v>55</v>
      </c>
      <c r="H206" s="13">
        <v>114244</v>
      </c>
      <c r="I206" s="13">
        <v>25565</v>
      </c>
      <c r="J206" t="s">
        <v>25</v>
      </c>
      <c r="K206" s="13">
        <f>HR_Data[[#This Row],[Salary]]+HR_Data[[#This Row],[Bonus]]</f>
        <v>139809</v>
      </c>
    </row>
    <row r="207" spans="1:11" x14ac:dyDescent="0.25">
      <c r="A207">
        <v>1206</v>
      </c>
      <c r="B207" t="s">
        <v>247</v>
      </c>
      <c r="C207" t="s">
        <v>10</v>
      </c>
      <c r="D207" t="s">
        <v>14</v>
      </c>
      <c r="E207" t="s">
        <v>18</v>
      </c>
      <c r="F207" t="s">
        <v>22</v>
      </c>
      <c r="G207">
        <v>41</v>
      </c>
      <c r="H207" s="13">
        <v>97400</v>
      </c>
      <c r="I207" s="13">
        <v>14691</v>
      </c>
      <c r="J207" t="s">
        <v>26</v>
      </c>
      <c r="K207" s="13">
        <f>HR_Data[[#This Row],[Salary]]+HR_Data[[#This Row],[Bonus]]</f>
        <v>112091</v>
      </c>
    </row>
    <row r="208" spans="1:11" x14ac:dyDescent="0.25">
      <c r="A208">
        <v>1207</v>
      </c>
      <c r="B208" t="s">
        <v>248</v>
      </c>
      <c r="C208" t="s">
        <v>8</v>
      </c>
      <c r="D208" t="s">
        <v>15</v>
      </c>
      <c r="E208" t="s">
        <v>20</v>
      </c>
      <c r="F208" t="s">
        <v>23</v>
      </c>
      <c r="G208">
        <v>56</v>
      </c>
      <c r="H208" s="13">
        <v>86961</v>
      </c>
      <c r="I208" s="13">
        <v>23214</v>
      </c>
      <c r="J208" t="s">
        <v>25</v>
      </c>
      <c r="K208" s="13">
        <f>HR_Data[[#This Row],[Salary]]+HR_Data[[#This Row],[Bonus]]</f>
        <v>110175</v>
      </c>
    </row>
    <row r="209" spans="1:11" x14ac:dyDescent="0.25">
      <c r="A209">
        <v>1208</v>
      </c>
      <c r="B209" t="s">
        <v>249</v>
      </c>
      <c r="C209" t="s">
        <v>8</v>
      </c>
      <c r="D209" t="s">
        <v>15</v>
      </c>
      <c r="E209" t="s">
        <v>17</v>
      </c>
      <c r="F209" t="s">
        <v>22</v>
      </c>
      <c r="G209">
        <v>39</v>
      </c>
      <c r="H209" s="13">
        <v>80156</v>
      </c>
      <c r="I209" s="13">
        <v>8395</v>
      </c>
      <c r="J209" t="s">
        <v>25</v>
      </c>
      <c r="K209" s="13">
        <f>HR_Data[[#This Row],[Salary]]+HR_Data[[#This Row],[Bonus]]</f>
        <v>88551</v>
      </c>
    </row>
    <row r="210" spans="1:11" x14ac:dyDescent="0.25">
      <c r="A210">
        <v>1209</v>
      </c>
      <c r="B210" t="s">
        <v>250</v>
      </c>
      <c r="C210" t="s">
        <v>9</v>
      </c>
      <c r="D210" t="s">
        <v>14</v>
      </c>
      <c r="E210" t="s">
        <v>19</v>
      </c>
      <c r="F210" t="s">
        <v>24</v>
      </c>
      <c r="G210">
        <v>45</v>
      </c>
      <c r="H210" s="13">
        <v>77175</v>
      </c>
      <c r="I210" s="13">
        <v>6203</v>
      </c>
      <c r="J210" t="s">
        <v>25</v>
      </c>
      <c r="K210" s="13">
        <f>HR_Data[[#This Row],[Salary]]+HR_Data[[#This Row],[Bonus]]</f>
        <v>83378</v>
      </c>
    </row>
    <row r="211" spans="1:11" x14ac:dyDescent="0.25">
      <c r="A211">
        <v>1210</v>
      </c>
      <c r="B211" t="s">
        <v>251</v>
      </c>
      <c r="C211" t="s">
        <v>10</v>
      </c>
      <c r="D211" t="s">
        <v>15</v>
      </c>
      <c r="E211" t="s">
        <v>17</v>
      </c>
      <c r="F211" t="s">
        <v>24</v>
      </c>
      <c r="G211">
        <v>29</v>
      </c>
      <c r="H211" s="13">
        <v>26849</v>
      </c>
      <c r="I211" s="13">
        <v>24194</v>
      </c>
      <c r="J211" t="s">
        <v>25</v>
      </c>
      <c r="K211" s="13">
        <f>HR_Data[[#This Row],[Salary]]+HR_Data[[#This Row],[Bonus]]</f>
        <v>51043</v>
      </c>
    </row>
    <row r="212" spans="1:11" x14ac:dyDescent="0.25">
      <c r="A212">
        <v>1211</v>
      </c>
      <c r="B212" t="s">
        <v>252</v>
      </c>
      <c r="C212" t="s">
        <v>9</v>
      </c>
      <c r="D212" t="s">
        <v>14</v>
      </c>
      <c r="E212" t="s">
        <v>20</v>
      </c>
      <c r="F212" t="s">
        <v>22</v>
      </c>
      <c r="G212">
        <v>51</v>
      </c>
      <c r="H212" s="13">
        <v>38976</v>
      </c>
      <c r="I212" s="13">
        <v>24476</v>
      </c>
      <c r="J212" t="s">
        <v>25</v>
      </c>
      <c r="K212" s="13">
        <f>HR_Data[[#This Row],[Salary]]+HR_Data[[#This Row],[Bonus]]</f>
        <v>63452</v>
      </c>
    </row>
    <row r="213" spans="1:11" x14ac:dyDescent="0.25">
      <c r="A213">
        <v>1212</v>
      </c>
      <c r="B213" t="s">
        <v>253</v>
      </c>
      <c r="C213" t="s">
        <v>12</v>
      </c>
      <c r="D213" t="s">
        <v>14</v>
      </c>
      <c r="E213" t="s">
        <v>19</v>
      </c>
      <c r="F213" t="s">
        <v>23</v>
      </c>
      <c r="G213">
        <v>31</v>
      </c>
      <c r="H213" s="13">
        <v>119794</v>
      </c>
      <c r="I213" s="13">
        <v>8044</v>
      </c>
      <c r="J213" t="s">
        <v>25</v>
      </c>
      <c r="K213" s="13">
        <f>HR_Data[[#This Row],[Salary]]+HR_Data[[#This Row],[Bonus]]</f>
        <v>127838</v>
      </c>
    </row>
    <row r="214" spans="1:11" x14ac:dyDescent="0.25">
      <c r="A214">
        <v>1213</v>
      </c>
      <c r="B214" t="s">
        <v>254</v>
      </c>
      <c r="C214" t="s">
        <v>2042</v>
      </c>
      <c r="D214" t="s">
        <v>14</v>
      </c>
      <c r="E214" t="s">
        <v>17</v>
      </c>
      <c r="F214" t="s">
        <v>22</v>
      </c>
      <c r="G214">
        <v>44</v>
      </c>
      <c r="H214" s="13">
        <v>76866</v>
      </c>
      <c r="I214" s="13">
        <v>27455</v>
      </c>
      <c r="J214" t="s">
        <v>25</v>
      </c>
      <c r="K214" s="13">
        <f>HR_Data[[#This Row],[Salary]]+HR_Data[[#This Row],[Bonus]]</f>
        <v>104321</v>
      </c>
    </row>
    <row r="215" spans="1:11" x14ac:dyDescent="0.25">
      <c r="A215">
        <v>1214</v>
      </c>
      <c r="B215" t="s">
        <v>255</v>
      </c>
      <c r="C215" t="s">
        <v>27</v>
      </c>
      <c r="D215" t="s">
        <v>14</v>
      </c>
      <c r="E215" t="s">
        <v>16</v>
      </c>
      <c r="F215" t="s">
        <v>21</v>
      </c>
      <c r="G215">
        <v>32</v>
      </c>
      <c r="H215" s="13">
        <v>67078</v>
      </c>
      <c r="I215" s="13">
        <v>12272</v>
      </c>
      <c r="J215" t="s">
        <v>25</v>
      </c>
      <c r="K215" s="13">
        <f>HR_Data[[#This Row],[Salary]]+HR_Data[[#This Row],[Bonus]]</f>
        <v>79350</v>
      </c>
    </row>
    <row r="216" spans="1:11" x14ac:dyDescent="0.25">
      <c r="A216">
        <v>1215</v>
      </c>
      <c r="B216" t="s">
        <v>256</v>
      </c>
      <c r="C216" t="s">
        <v>12</v>
      </c>
      <c r="D216" t="s">
        <v>15</v>
      </c>
      <c r="E216" t="s">
        <v>19</v>
      </c>
      <c r="F216" t="s">
        <v>21</v>
      </c>
      <c r="G216">
        <v>23</v>
      </c>
      <c r="H216" s="13">
        <v>51113</v>
      </c>
      <c r="I216" s="13">
        <v>26057</v>
      </c>
      <c r="J216" t="s">
        <v>25</v>
      </c>
      <c r="K216" s="13">
        <f>HR_Data[[#This Row],[Salary]]+HR_Data[[#This Row],[Bonus]]</f>
        <v>77170</v>
      </c>
    </row>
    <row r="217" spans="1:11" x14ac:dyDescent="0.25">
      <c r="A217">
        <v>1216</v>
      </c>
      <c r="B217" t="s">
        <v>257</v>
      </c>
      <c r="C217" t="s">
        <v>9</v>
      </c>
      <c r="D217" t="s">
        <v>14</v>
      </c>
      <c r="E217" t="s">
        <v>16</v>
      </c>
      <c r="F217" t="s">
        <v>21</v>
      </c>
      <c r="G217">
        <v>47</v>
      </c>
      <c r="H217" s="13">
        <v>35401</v>
      </c>
      <c r="I217" s="13">
        <v>8514</v>
      </c>
      <c r="J217" t="s">
        <v>25</v>
      </c>
      <c r="K217" s="13">
        <f>HR_Data[[#This Row],[Salary]]+HR_Data[[#This Row],[Bonus]]</f>
        <v>43915</v>
      </c>
    </row>
    <row r="218" spans="1:11" x14ac:dyDescent="0.25">
      <c r="A218">
        <v>1217</v>
      </c>
      <c r="B218" t="s">
        <v>258</v>
      </c>
      <c r="C218" t="s">
        <v>12</v>
      </c>
      <c r="D218" t="s">
        <v>14</v>
      </c>
      <c r="E218" t="s">
        <v>18</v>
      </c>
      <c r="F218" t="s">
        <v>22</v>
      </c>
      <c r="G218">
        <v>57</v>
      </c>
      <c r="H218" s="13">
        <v>32884</v>
      </c>
      <c r="I218" s="13">
        <v>14990</v>
      </c>
      <c r="J218" t="s">
        <v>25</v>
      </c>
      <c r="K218" s="13">
        <f>HR_Data[[#This Row],[Salary]]+HR_Data[[#This Row],[Bonus]]</f>
        <v>47874</v>
      </c>
    </row>
    <row r="219" spans="1:11" x14ac:dyDescent="0.25">
      <c r="A219">
        <v>1218</v>
      </c>
      <c r="B219" t="s">
        <v>259</v>
      </c>
      <c r="C219" t="s">
        <v>10</v>
      </c>
      <c r="D219" t="s">
        <v>15</v>
      </c>
      <c r="E219" t="s">
        <v>19</v>
      </c>
      <c r="F219" t="s">
        <v>22</v>
      </c>
      <c r="G219">
        <v>54</v>
      </c>
      <c r="H219" s="13">
        <v>69554.53</v>
      </c>
      <c r="I219" s="13">
        <v>11192</v>
      </c>
      <c r="J219" t="s">
        <v>26</v>
      </c>
      <c r="K219" s="13">
        <f>HR_Data[[#This Row],[Salary]]+HR_Data[[#This Row],[Bonus]]</f>
        <v>80746.53</v>
      </c>
    </row>
    <row r="220" spans="1:11" x14ac:dyDescent="0.25">
      <c r="A220">
        <v>1219</v>
      </c>
      <c r="B220" t="s">
        <v>260</v>
      </c>
      <c r="C220" t="s">
        <v>10</v>
      </c>
      <c r="D220" t="s">
        <v>14</v>
      </c>
      <c r="E220" t="s">
        <v>16</v>
      </c>
      <c r="F220" t="s">
        <v>22</v>
      </c>
      <c r="G220">
        <v>34</v>
      </c>
      <c r="H220" s="13">
        <v>57563</v>
      </c>
      <c r="I220" s="13">
        <v>15767</v>
      </c>
      <c r="J220" t="s">
        <v>26</v>
      </c>
      <c r="K220" s="13">
        <f>HR_Data[[#This Row],[Salary]]+HR_Data[[#This Row],[Bonus]]</f>
        <v>73330</v>
      </c>
    </row>
    <row r="221" spans="1:11" x14ac:dyDescent="0.25">
      <c r="A221">
        <v>1220</v>
      </c>
      <c r="B221" t="s">
        <v>261</v>
      </c>
      <c r="C221" t="s">
        <v>8</v>
      </c>
      <c r="D221" t="s">
        <v>15</v>
      </c>
      <c r="E221" t="s">
        <v>20</v>
      </c>
      <c r="F221" t="s">
        <v>21</v>
      </c>
      <c r="G221">
        <v>46</v>
      </c>
      <c r="H221" s="13">
        <v>54414</v>
      </c>
      <c r="I221" s="13">
        <v>21528</v>
      </c>
      <c r="J221" t="s">
        <v>25</v>
      </c>
      <c r="K221" s="13">
        <f>HR_Data[[#This Row],[Salary]]+HR_Data[[#This Row],[Bonus]]</f>
        <v>75942</v>
      </c>
    </row>
    <row r="222" spans="1:11" x14ac:dyDescent="0.25">
      <c r="A222">
        <v>1221</v>
      </c>
      <c r="B222" t="s">
        <v>262</v>
      </c>
      <c r="C222" t="s">
        <v>11</v>
      </c>
      <c r="D222" t="s">
        <v>15</v>
      </c>
      <c r="E222" t="s">
        <v>20</v>
      </c>
      <c r="F222" t="s">
        <v>23</v>
      </c>
      <c r="G222">
        <v>25</v>
      </c>
      <c r="H222" s="13">
        <v>36142</v>
      </c>
      <c r="I222" s="13">
        <v>12507</v>
      </c>
      <c r="J222" t="s">
        <v>25</v>
      </c>
      <c r="K222" s="13">
        <f>HR_Data[[#This Row],[Salary]]+HR_Data[[#This Row],[Bonus]]</f>
        <v>48649</v>
      </c>
    </row>
    <row r="223" spans="1:11" x14ac:dyDescent="0.25">
      <c r="A223">
        <v>1222</v>
      </c>
      <c r="B223" t="s">
        <v>263</v>
      </c>
      <c r="C223" t="s">
        <v>2042</v>
      </c>
      <c r="D223" t="s">
        <v>27</v>
      </c>
      <c r="E223" t="s">
        <v>18</v>
      </c>
      <c r="F223" t="s">
        <v>24</v>
      </c>
      <c r="G223">
        <v>40</v>
      </c>
      <c r="H223" s="13">
        <v>91492</v>
      </c>
      <c r="I223" s="13">
        <v>9857</v>
      </c>
      <c r="J223" t="s">
        <v>25</v>
      </c>
      <c r="K223" s="13">
        <f>HR_Data[[#This Row],[Salary]]+HR_Data[[#This Row],[Bonus]]</f>
        <v>101349</v>
      </c>
    </row>
    <row r="224" spans="1:11" x14ac:dyDescent="0.25">
      <c r="A224">
        <v>1223</v>
      </c>
      <c r="B224" t="s">
        <v>264</v>
      </c>
      <c r="C224" t="s">
        <v>12</v>
      </c>
      <c r="D224" t="s">
        <v>14</v>
      </c>
      <c r="E224" t="s">
        <v>19</v>
      </c>
      <c r="F224" t="s">
        <v>22</v>
      </c>
      <c r="G224">
        <v>39</v>
      </c>
      <c r="H224" s="13">
        <v>99464</v>
      </c>
      <c r="I224" s="13">
        <v>17118</v>
      </c>
      <c r="J224" t="s">
        <v>25</v>
      </c>
      <c r="K224" s="13">
        <f>HR_Data[[#This Row],[Salary]]+HR_Data[[#This Row],[Bonus]]</f>
        <v>116582</v>
      </c>
    </row>
    <row r="225" spans="1:11" x14ac:dyDescent="0.25">
      <c r="A225">
        <v>1224</v>
      </c>
      <c r="B225" t="s">
        <v>265</v>
      </c>
      <c r="C225" t="s">
        <v>12</v>
      </c>
      <c r="D225" t="s">
        <v>15</v>
      </c>
      <c r="E225" t="s">
        <v>19</v>
      </c>
      <c r="F225" t="s">
        <v>23</v>
      </c>
      <c r="G225">
        <v>58</v>
      </c>
      <c r="H225" s="13">
        <v>95257</v>
      </c>
      <c r="I225" s="13">
        <v>22761</v>
      </c>
      <c r="J225" t="s">
        <v>26</v>
      </c>
      <c r="K225" s="13">
        <f>HR_Data[[#This Row],[Salary]]+HR_Data[[#This Row],[Bonus]]</f>
        <v>118018</v>
      </c>
    </row>
    <row r="226" spans="1:11" x14ac:dyDescent="0.25">
      <c r="A226">
        <v>1225</v>
      </c>
      <c r="B226" t="s">
        <v>266</v>
      </c>
      <c r="C226" t="s">
        <v>9</v>
      </c>
      <c r="D226" t="s">
        <v>15</v>
      </c>
      <c r="E226" t="s">
        <v>19</v>
      </c>
      <c r="F226" t="s">
        <v>24</v>
      </c>
      <c r="G226">
        <v>51</v>
      </c>
      <c r="H226" s="13">
        <v>96693</v>
      </c>
      <c r="I226" s="13">
        <v>8146</v>
      </c>
      <c r="J226" t="s">
        <v>25</v>
      </c>
      <c r="K226" s="13">
        <f>HR_Data[[#This Row],[Salary]]+HR_Data[[#This Row],[Bonus]]</f>
        <v>104839</v>
      </c>
    </row>
    <row r="227" spans="1:11" x14ac:dyDescent="0.25">
      <c r="A227">
        <v>1226</v>
      </c>
      <c r="B227" t="s">
        <v>267</v>
      </c>
      <c r="C227" t="s">
        <v>11</v>
      </c>
      <c r="D227" t="s">
        <v>14</v>
      </c>
      <c r="E227" t="s">
        <v>18</v>
      </c>
      <c r="F227" t="s">
        <v>24</v>
      </c>
      <c r="G227">
        <v>40</v>
      </c>
      <c r="H227" s="13">
        <v>55135</v>
      </c>
      <c r="I227" s="13">
        <v>26408</v>
      </c>
      <c r="J227" t="s">
        <v>25</v>
      </c>
      <c r="K227" s="13">
        <f>HR_Data[[#This Row],[Salary]]+HR_Data[[#This Row],[Bonus]]</f>
        <v>81543</v>
      </c>
    </row>
    <row r="228" spans="1:11" x14ac:dyDescent="0.25">
      <c r="A228">
        <v>1227</v>
      </c>
      <c r="B228" t="s">
        <v>268</v>
      </c>
      <c r="C228" t="s">
        <v>10</v>
      </c>
      <c r="D228" t="s">
        <v>15</v>
      </c>
      <c r="E228" t="s">
        <v>19</v>
      </c>
      <c r="F228" t="s">
        <v>24</v>
      </c>
      <c r="G228">
        <v>44</v>
      </c>
      <c r="H228" s="13">
        <v>92232</v>
      </c>
      <c r="I228" s="13">
        <v>22177</v>
      </c>
      <c r="J228" t="s">
        <v>25</v>
      </c>
      <c r="K228" s="13">
        <f>HR_Data[[#This Row],[Salary]]+HR_Data[[#This Row],[Bonus]]</f>
        <v>114409</v>
      </c>
    </row>
    <row r="229" spans="1:11" x14ac:dyDescent="0.25">
      <c r="A229">
        <v>1228</v>
      </c>
      <c r="B229" t="s">
        <v>269</v>
      </c>
      <c r="C229" t="s">
        <v>2042</v>
      </c>
      <c r="D229" t="s">
        <v>15</v>
      </c>
      <c r="E229" t="s">
        <v>20</v>
      </c>
      <c r="F229" t="s">
        <v>23</v>
      </c>
      <c r="G229">
        <v>37</v>
      </c>
      <c r="H229" s="13">
        <v>47862</v>
      </c>
      <c r="I229" s="13">
        <v>10756</v>
      </c>
      <c r="J229" t="s">
        <v>26</v>
      </c>
      <c r="K229" s="13">
        <f>HR_Data[[#This Row],[Salary]]+HR_Data[[#This Row],[Bonus]]</f>
        <v>58618</v>
      </c>
    </row>
    <row r="230" spans="1:11" x14ac:dyDescent="0.25">
      <c r="A230">
        <v>1229</v>
      </c>
      <c r="B230" t="s">
        <v>270</v>
      </c>
      <c r="C230" t="s">
        <v>8</v>
      </c>
      <c r="D230" t="s">
        <v>15</v>
      </c>
      <c r="E230" t="s">
        <v>16</v>
      </c>
      <c r="F230" t="s">
        <v>23</v>
      </c>
      <c r="G230">
        <v>22</v>
      </c>
      <c r="H230" s="13">
        <v>25190</v>
      </c>
      <c r="I230" s="13">
        <v>9414</v>
      </c>
      <c r="J230" t="s">
        <v>26</v>
      </c>
      <c r="K230" s="13">
        <f>HR_Data[[#This Row],[Salary]]+HR_Data[[#This Row],[Bonus]]</f>
        <v>34604</v>
      </c>
    </row>
    <row r="231" spans="1:11" x14ac:dyDescent="0.25">
      <c r="A231">
        <v>1230</v>
      </c>
      <c r="B231" t="s">
        <v>271</v>
      </c>
      <c r="C231" t="s">
        <v>10</v>
      </c>
      <c r="D231" t="s">
        <v>15</v>
      </c>
      <c r="E231" t="s">
        <v>20</v>
      </c>
      <c r="F231" t="s">
        <v>21</v>
      </c>
      <c r="G231">
        <v>33</v>
      </c>
      <c r="H231" s="13">
        <v>90199</v>
      </c>
      <c r="I231" s="13">
        <v>22494</v>
      </c>
      <c r="J231" t="s">
        <v>25</v>
      </c>
      <c r="K231" s="13">
        <f>HR_Data[[#This Row],[Salary]]+HR_Data[[#This Row],[Bonus]]</f>
        <v>112693</v>
      </c>
    </row>
    <row r="232" spans="1:11" x14ac:dyDescent="0.25">
      <c r="A232">
        <v>1231</v>
      </c>
      <c r="B232" t="s">
        <v>272</v>
      </c>
      <c r="C232" t="s">
        <v>11</v>
      </c>
      <c r="D232" t="s">
        <v>15</v>
      </c>
      <c r="E232" t="s">
        <v>20</v>
      </c>
      <c r="F232" t="s">
        <v>23</v>
      </c>
      <c r="G232">
        <v>45</v>
      </c>
      <c r="H232" s="13">
        <v>24331</v>
      </c>
      <c r="I232" s="13">
        <v>27056</v>
      </c>
      <c r="J232" t="s">
        <v>26</v>
      </c>
      <c r="K232" s="13">
        <f>HR_Data[[#This Row],[Salary]]+HR_Data[[#This Row],[Bonus]]</f>
        <v>51387</v>
      </c>
    </row>
    <row r="233" spans="1:11" x14ac:dyDescent="0.25">
      <c r="A233">
        <v>1232</v>
      </c>
      <c r="B233" t="s">
        <v>273</v>
      </c>
      <c r="C233" t="s">
        <v>8</v>
      </c>
      <c r="D233" t="s">
        <v>14</v>
      </c>
      <c r="E233" t="s">
        <v>16</v>
      </c>
      <c r="F233" t="s">
        <v>23</v>
      </c>
      <c r="G233">
        <v>55</v>
      </c>
      <c r="H233" s="13">
        <v>72186</v>
      </c>
      <c r="I233" s="13">
        <v>25437</v>
      </c>
      <c r="J233" t="s">
        <v>26</v>
      </c>
      <c r="K233" s="13">
        <f>HR_Data[[#This Row],[Salary]]+HR_Data[[#This Row],[Bonus]]</f>
        <v>97623</v>
      </c>
    </row>
    <row r="234" spans="1:11" x14ac:dyDescent="0.25">
      <c r="A234">
        <v>1233</v>
      </c>
      <c r="B234" t="s">
        <v>274</v>
      </c>
      <c r="C234" t="s">
        <v>9</v>
      </c>
      <c r="D234" t="s">
        <v>15</v>
      </c>
      <c r="E234" t="s">
        <v>20</v>
      </c>
      <c r="F234" t="s">
        <v>23</v>
      </c>
      <c r="G234">
        <v>29</v>
      </c>
      <c r="H234" s="13">
        <v>64648</v>
      </c>
      <c r="I234" s="13">
        <v>8937</v>
      </c>
      <c r="J234" t="s">
        <v>26</v>
      </c>
      <c r="K234" s="13">
        <f>HR_Data[[#This Row],[Salary]]+HR_Data[[#This Row],[Bonus]]</f>
        <v>73585</v>
      </c>
    </row>
    <row r="235" spans="1:11" x14ac:dyDescent="0.25">
      <c r="A235">
        <v>1234</v>
      </c>
      <c r="B235" t="s">
        <v>275</v>
      </c>
      <c r="C235" t="s">
        <v>9</v>
      </c>
      <c r="D235" t="s">
        <v>15</v>
      </c>
      <c r="E235" t="s">
        <v>18</v>
      </c>
      <c r="F235" t="s">
        <v>24</v>
      </c>
      <c r="G235">
        <v>39</v>
      </c>
      <c r="H235" s="13">
        <v>48549</v>
      </c>
      <c r="I235" s="13">
        <v>8963</v>
      </c>
      <c r="J235" t="s">
        <v>25</v>
      </c>
      <c r="K235" s="13">
        <f>HR_Data[[#This Row],[Salary]]+HR_Data[[#This Row],[Bonus]]</f>
        <v>57512</v>
      </c>
    </row>
    <row r="236" spans="1:11" x14ac:dyDescent="0.25">
      <c r="A236">
        <v>1235</v>
      </c>
      <c r="B236" t="s">
        <v>276</v>
      </c>
      <c r="C236" t="s">
        <v>27</v>
      </c>
      <c r="D236" t="s">
        <v>14</v>
      </c>
      <c r="E236" t="s">
        <v>16</v>
      </c>
      <c r="F236" t="s">
        <v>22</v>
      </c>
      <c r="G236">
        <v>26</v>
      </c>
      <c r="H236" s="13">
        <v>69554.53</v>
      </c>
      <c r="I236" s="13">
        <v>26326</v>
      </c>
      <c r="J236" t="s">
        <v>25</v>
      </c>
      <c r="K236" s="13">
        <f>HR_Data[[#This Row],[Salary]]+HR_Data[[#This Row],[Bonus]]</f>
        <v>95880.53</v>
      </c>
    </row>
    <row r="237" spans="1:11" x14ac:dyDescent="0.25">
      <c r="A237">
        <v>1236</v>
      </c>
      <c r="B237" t="s">
        <v>277</v>
      </c>
      <c r="C237" t="s">
        <v>11</v>
      </c>
      <c r="D237" t="s">
        <v>14</v>
      </c>
      <c r="E237" t="s">
        <v>20</v>
      </c>
      <c r="F237" t="s">
        <v>21</v>
      </c>
      <c r="G237">
        <v>47</v>
      </c>
      <c r="H237" s="13">
        <v>45761</v>
      </c>
      <c r="I237" s="13">
        <v>10897</v>
      </c>
      <c r="J237" t="s">
        <v>25</v>
      </c>
      <c r="K237" s="13">
        <f>HR_Data[[#This Row],[Salary]]+HR_Data[[#This Row],[Bonus]]</f>
        <v>56658</v>
      </c>
    </row>
    <row r="238" spans="1:11" x14ac:dyDescent="0.25">
      <c r="A238">
        <v>1237</v>
      </c>
      <c r="B238" t="s">
        <v>278</v>
      </c>
      <c r="C238" t="s">
        <v>2042</v>
      </c>
      <c r="D238" t="s">
        <v>14</v>
      </c>
      <c r="E238" t="s">
        <v>17</v>
      </c>
      <c r="F238" t="s">
        <v>22</v>
      </c>
      <c r="G238">
        <v>51</v>
      </c>
      <c r="H238" s="13">
        <v>23262</v>
      </c>
      <c r="I238" s="13">
        <v>13974</v>
      </c>
      <c r="J238" t="s">
        <v>25</v>
      </c>
      <c r="K238" s="13">
        <f>HR_Data[[#This Row],[Salary]]+HR_Data[[#This Row],[Bonus]]</f>
        <v>37236</v>
      </c>
    </row>
    <row r="239" spans="1:11" x14ac:dyDescent="0.25">
      <c r="A239">
        <v>1238</v>
      </c>
      <c r="B239" t="s">
        <v>279</v>
      </c>
      <c r="C239" t="s">
        <v>8</v>
      </c>
      <c r="D239" t="s">
        <v>15</v>
      </c>
      <c r="E239" t="s">
        <v>20</v>
      </c>
      <c r="F239" t="s">
        <v>22</v>
      </c>
      <c r="G239">
        <v>34</v>
      </c>
      <c r="H239" s="13">
        <v>71259</v>
      </c>
      <c r="I239" s="13">
        <v>19377</v>
      </c>
      <c r="J239" t="s">
        <v>25</v>
      </c>
      <c r="K239" s="13">
        <f>HR_Data[[#This Row],[Salary]]+HR_Data[[#This Row],[Bonus]]</f>
        <v>90636</v>
      </c>
    </row>
    <row r="240" spans="1:11" x14ac:dyDescent="0.25">
      <c r="A240">
        <v>1239</v>
      </c>
      <c r="B240" t="s">
        <v>280</v>
      </c>
      <c r="C240" t="s">
        <v>10</v>
      </c>
      <c r="D240" t="s">
        <v>14</v>
      </c>
      <c r="E240" t="s">
        <v>18</v>
      </c>
      <c r="F240" t="s">
        <v>23</v>
      </c>
      <c r="G240">
        <v>40</v>
      </c>
      <c r="H240" s="13">
        <v>92572</v>
      </c>
      <c r="I240" s="13">
        <v>22500</v>
      </c>
      <c r="J240" t="s">
        <v>26</v>
      </c>
      <c r="K240" s="13">
        <f>HR_Data[[#This Row],[Salary]]+HR_Data[[#This Row],[Bonus]]</f>
        <v>115072</v>
      </c>
    </row>
    <row r="241" spans="1:11" x14ac:dyDescent="0.25">
      <c r="A241">
        <v>1240</v>
      </c>
      <c r="B241" t="s">
        <v>281</v>
      </c>
      <c r="C241" t="s">
        <v>11</v>
      </c>
      <c r="D241" t="s">
        <v>15</v>
      </c>
      <c r="E241" t="s">
        <v>19</v>
      </c>
      <c r="F241" t="s">
        <v>21</v>
      </c>
      <c r="G241">
        <v>50</v>
      </c>
      <c r="H241" s="13">
        <v>73472</v>
      </c>
      <c r="I241" s="13">
        <v>21056</v>
      </c>
      <c r="J241" t="s">
        <v>25</v>
      </c>
      <c r="K241" s="13">
        <f>HR_Data[[#This Row],[Salary]]+HR_Data[[#This Row],[Bonus]]</f>
        <v>94528</v>
      </c>
    </row>
    <row r="242" spans="1:11" x14ac:dyDescent="0.25">
      <c r="A242">
        <v>1241</v>
      </c>
      <c r="B242" t="s">
        <v>282</v>
      </c>
      <c r="C242" t="s">
        <v>11</v>
      </c>
      <c r="D242" t="s">
        <v>15</v>
      </c>
      <c r="E242" t="s">
        <v>20</v>
      </c>
      <c r="F242" t="s">
        <v>22</v>
      </c>
      <c r="G242">
        <v>24</v>
      </c>
      <c r="H242" s="13">
        <v>107858</v>
      </c>
      <c r="I242" s="13">
        <v>6750</v>
      </c>
      <c r="J242" t="s">
        <v>25</v>
      </c>
      <c r="K242" s="13">
        <f>HR_Data[[#This Row],[Salary]]+HR_Data[[#This Row],[Bonus]]</f>
        <v>114608</v>
      </c>
    </row>
    <row r="243" spans="1:11" x14ac:dyDescent="0.25">
      <c r="A243">
        <v>1242</v>
      </c>
      <c r="B243" t="s">
        <v>283</v>
      </c>
      <c r="C243" t="s">
        <v>9</v>
      </c>
      <c r="D243" t="s">
        <v>14</v>
      </c>
      <c r="E243" t="s">
        <v>19</v>
      </c>
      <c r="F243" t="s">
        <v>22</v>
      </c>
      <c r="G243">
        <v>47</v>
      </c>
      <c r="H243" s="13">
        <v>104667</v>
      </c>
      <c r="I243" s="13">
        <v>9027</v>
      </c>
      <c r="J243" t="s">
        <v>25</v>
      </c>
      <c r="K243" s="13">
        <f>HR_Data[[#This Row],[Salary]]+HR_Data[[#This Row],[Bonus]]</f>
        <v>113694</v>
      </c>
    </row>
    <row r="244" spans="1:11" x14ac:dyDescent="0.25">
      <c r="A244">
        <v>1243</v>
      </c>
      <c r="B244" t="s">
        <v>284</v>
      </c>
      <c r="C244" t="s">
        <v>12</v>
      </c>
      <c r="D244" t="s">
        <v>14</v>
      </c>
      <c r="E244" t="s">
        <v>17</v>
      </c>
      <c r="F244" t="s">
        <v>21</v>
      </c>
      <c r="G244">
        <v>33</v>
      </c>
      <c r="H244" s="13">
        <v>69554.53</v>
      </c>
      <c r="I244" s="13">
        <v>16528</v>
      </c>
      <c r="J244" t="s">
        <v>25</v>
      </c>
      <c r="K244" s="13">
        <f>HR_Data[[#This Row],[Salary]]+HR_Data[[#This Row],[Bonus]]</f>
        <v>86082.53</v>
      </c>
    </row>
    <row r="245" spans="1:11" x14ac:dyDescent="0.25">
      <c r="A245">
        <v>1244</v>
      </c>
      <c r="B245" t="s">
        <v>285</v>
      </c>
      <c r="C245" t="s">
        <v>12</v>
      </c>
      <c r="D245" t="s">
        <v>15</v>
      </c>
      <c r="E245" t="s">
        <v>20</v>
      </c>
      <c r="F245" t="s">
        <v>23</v>
      </c>
      <c r="G245">
        <v>23</v>
      </c>
      <c r="H245" s="13">
        <v>93508</v>
      </c>
      <c r="I245" s="13">
        <v>10745</v>
      </c>
      <c r="J245" t="s">
        <v>26</v>
      </c>
      <c r="K245" s="13">
        <f>HR_Data[[#This Row],[Salary]]+HR_Data[[#This Row],[Bonus]]</f>
        <v>104253</v>
      </c>
    </row>
    <row r="246" spans="1:11" x14ac:dyDescent="0.25">
      <c r="A246">
        <v>1245</v>
      </c>
      <c r="B246" t="s">
        <v>286</v>
      </c>
      <c r="C246" t="s">
        <v>8</v>
      </c>
      <c r="D246" t="s">
        <v>14</v>
      </c>
      <c r="E246" t="s">
        <v>16</v>
      </c>
      <c r="F246" t="s">
        <v>22</v>
      </c>
      <c r="G246">
        <v>32</v>
      </c>
      <c r="H246" s="13">
        <v>100865</v>
      </c>
      <c r="I246" s="13">
        <v>26448</v>
      </c>
      <c r="J246" t="s">
        <v>25</v>
      </c>
      <c r="K246" s="13">
        <f>HR_Data[[#This Row],[Salary]]+HR_Data[[#This Row],[Bonus]]</f>
        <v>127313</v>
      </c>
    </row>
    <row r="247" spans="1:11" x14ac:dyDescent="0.25">
      <c r="A247">
        <v>1246</v>
      </c>
      <c r="B247" t="s">
        <v>287</v>
      </c>
      <c r="C247" t="s">
        <v>9</v>
      </c>
      <c r="D247" t="s">
        <v>15</v>
      </c>
      <c r="E247" t="s">
        <v>19</v>
      </c>
      <c r="F247" t="s">
        <v>24</v>
      </c>
      <c r="G247">
        <v>49</v>
      </c>
      <c r="H247" s="13">
        <v>70617</v>
      </c>
      <c r="I247" s="13">
        <v>14679</v>
      </c>
      <c r="J247" t="s">
        <v>25</v>
      </c>
      <c r="K247" s="13">
        <f>HR_Data[[#This Row],[Salary]]+HR_Data[[#This Row],[Bonus]]</f>
        <v>85296</v>
      </c>
    </row>
    <row r="248" spans="1:11" x14ac:dyDescent="0.25">
      <c r="A248">
        <v>1247</v>
      </c>
      <c r="B248" t="s">
        <v>288</v>
      </c>
      <c r="C248" t="s">
        <v>11</v>
      </c>
      <c r="D248" t="s">
        <v>14</v>
      </c>
      <c r="E248" t="s">
        <v>17</v>
      </c>
      <c r="F248" t="s">
        <v>22</v>
      </c>
      <c r="G248">
        <v>39</v>
      </c>
      <c r="H248" s="13">
        <v>106029</v>
      </c>
      <c r="I248" s="13">
        <v>10938</v>
      </c>
      <c r="J248" t="s">
        <v>26</v>
      </c>
      <c r="K248" s="13">
        <f>HR_Data[[#This Row],[Salary]]+HR_Data[[#This Row],[Bonus]]</f>
        <v>116967</v>
      </c>
    </row>
    <row r="249" spans="1:11" x14ac:dyDescent="0.25">
      <c r="A249">
        <v>1248</v>
      </c>
      <c r="B249" t="s">
        <v>289</v>
      </c>
      <c r="C249" t="s">
        <v>2042</v>
      </c>
      <c r="D249" t="s">
        <v>14</v>
      </c>
      <c r="E249" t="s">
        <v>16</v>
      </c>
      <c r="F249" t="s">
        <v>24</v>
      </c>
      <c r="G249">
        <v>34</v>
      </c>
      <c r="H249" s="13">
        <v>38595</v>
      </c>
      <c r="I249" s="13">
        <v>17150</v>
      </c>
      <c r="J249" t="s">
        <v>25</v>
      </c>
      <c r="K249" s="13">
        <f>HR_Data[[#This Row],[Salary]]+HR_Data[[#This Row],[Bonus]]</f>
        <v>55745</v>
      </c>
    </row>
    <row r="250" spans="1:11" x14ac:dyDescent="0.25">
      <c r="A250">
        <v>1249</v>
      </c>
      <c r="B250" t="s">
        <v>290</v>
      </c>
      <c r="C250" t="s">
        <v>9</v>
      </c>
      <c r="D250" t="s">
        <v>14</v>
      </c>
      <c r="E250" t="s">
        <v>16</v>
      </c>
      <c r="F250" t="s">
        <v>23</v>
      </c>
      <c r="G250">
        <v>58</v>
      </c>
      <c r="H250" s="13">
        <v>107459</v>
      </c>
      <c r="I250" s="13">
        <v>18406</v>
      </c>
      <c r="J250" t="s">
        <v>25</v>
      </c>
      <c r="K250" s="13">
        <f>HR_Data[[#This Row],[Salary]]+HR_Data[[#This Row],[Bonus]]</f>
        <v>125865</v>
      </c>
    </row>
    <row r="251" spans="1:11" x14ac:dyDescent="0.25">
      <c r="A251">
        <v>1250</v>
      </c>
      <c r="B251" t="s">
        <v>291</v>
      </c>
      <c r="C251" t="s">
        <v>8</v>
      </c>
      <c r="D251" t="s">
        <v>15</v>
      </c>
      <c r="E251" t="s">
        <v>16</v>
      </c>
      <c r="F251" t="s">
        <v>22</v>
      </c>
      <c r="G251">
        <v>43</v>
      </c>
      <c r="H251" s="13">
        <v>80148</v>
      </c>
      <c r="I251" s="13">
        <v>24781</v>
      </c>
      <c r="J251" t="s">
        <v>25</v>
      </c>
      <c r="K251" s="13">
        <f>HR_Data[[#This Row],[Salary]]+HR_Data[[#This Row],[Bonus]]</f>
        <v>104929</v>
      </c>
    </row>
    <row r="252" spans="1:11" x14ac:dyDescent="0.25">
      <c r="A252">
        <v>1251</v>
      </c>
      <c r="B252" t="s">
        <v>292</v>
      </c>
      <c r="C252" t="s">
        <v>27</v>
      </c>
      <c r="D252" t="s">
        <v>14</v>
      </c>
      <c r="E252" t="s">
        <v>16</v>
      </c>
      <c r="F252" t="s">
        <v>21</v>
      </c>
      <c r="G252">
        <v>33</v>
      </c>
      <c r="H252" s="13">
        <v>66926</v>
      </c>
      <c r="I252" s="13">
        <v>29649</v>
      </c>
      <c r="J252" t="s">
        <v>27</v>
      </c>
      <c r="K252" s="13">
        <f>HR_Data[[#This Row],[Salary]]+HR_Data[[#This Row],[Bonus]]</f>
        <v>96575</v>
      </c>
    </row>
    <row r="253" spans="1:11" x14ac:dyDescent="0.25">
      <c r="A253">
        <v>1252</v>
      </c>
      <c r="B253" t="s">
        <v>293</v>
      </c>
      <c r="C253" t="s">
        <v>9</v>
      </c>
      <c r="D253" t="s">
        <v>15</v>
      </c>
      <c r="E253" t="s">
        <v>20</v>
      </c>
      <c r="F253" t="s">
        <v>21</v>
      </c>
      <c r="G253">
        <v>23</v>
      </c>
      <c r="H253" s="13">
        <v>95271</v>
      </c>
      <c r="I253" s="13">
        <v>22743</v>
      </c>
      <c r="J253" t="s">
        <v>26</v>
      </c>
      <c r="K253" s="13">
        <f>HR_Data[[#This Row],[Salary]]+HR_Data[[#This Row],[Bonus]]</f>
        <v>118014</v>
      </c>
    </row>
    <row r="254" spans="1:11" x14ac:dyDescent="0.25">
      <c r="A254">
        <v>1253</v>
      </c>
      <c r="B254" t="s">
        <v>294</v>
      </c>
      <c r="C254" t="s">
        <v>8</v>
      </c>
      <c r="D254" t="s">
        <v>15</v>
      </c>
      <c r="E254" t="s">
        <v>20</v>
      </c>
      <c r="F254" t="s">
        <v>22</v>
      </c>
      <c r="G254">
        <v>58</v>
      </c>
      <c r="H254" s="13">
        <v>54457</v>
      </c>
      <c r="I254" s="13">
        <v>9853</v>
      </c>
      <c r="J254" t="s">
        <v>26</v>
      </c>
      <c r="K254" s="13">
        <f>HR_Data[[#This Row],[Salary]]+HR_Data[[#This Row],[Bonus]]</f>
        <v>64310</v>
      </c>
    </row>
    <row r="255" spans="1:11" x14ac:dyDescent="0.25">
      <c r="A255">
        <v>1254</v>
      </c>
      <c r="B255" t="s">
        <v>295</v>
      </c>
      <c r="C255" t="s">
        <v>9</v>
      </c>
      <c r="D255" t="s">
        <v>15</v>
      </c>
      <c r="E255" t="s">
        <v>20</v>
      </c>
      <c r="F255" t="s">
        <v>23</v>
      </c>
      <c r="G255">
        <v>28</v>
      </c>
      <c r="H255" s="13">
        <v>62531</v>
      </c>
      <c r="I255" s="13">
        <v>23325</v>
      </c>
      <c r="J255" t="s">
        <v>26</v>
      </c>
      <c r="K255" s="13">
        <f>HR_Data[[#This Row],[Salary]]+HR_Data[[#This Row],[Bonus]]</f>
        <v>85856</v>
      </c>
    </row>
    <row r="256" spans="1:11" x14ac:dyDescent="0.25">
      <c r="A256">
        <v>1255</v>
      </c>
      <c r="B256" t="s">
        <v>296</v>
      </c>
      <c r="C256" t="s">
        <v>10</v>
      </c>
      <c r="D256" t="s">
        <v>15</v>
      </c>
      <c r="E256" t="s">
        <v>17</v>
      </c>
      <c r="F256" t="s">
        <v>23</v>
      </c>
      <c r="G256">
        <v>47</v>
      </c>
      <c r="H256" s="13">
        <v>93263</v>
      </c>
      <c r="I256" s="13">
        <v>8148</v>
      </c>
      <c r="J256" t="s">
        <v>25</v>
      </c>
      <c r="K256" s="13">
        <f>HR_Data[[#This Row],[Salary]]+HR_Data[[#This Row],[Bonus]]</f>
        <v>101411</v>
      </c>
    </row>
    <row r="257" spans="1:11" x14ac:dyDescent="0.25">
      <c r="A257">
        <v>1256</v>
      </c>
      <c r="B257" t="s">
        <v>297</v>
      </c>
      <c r="C257" t="s">
        <v>9</v>
      </c>
      <c r="D257" t="s">
        <v>14</v>
      </c>
      <c r="E257" t="s">
        <v>17</v>
      </c>
      <c r="F257" t="s">
        <v>21</v>
      </c>
      <c r="G257">
        <v>47</v>
      </c>
      <c r="H257" s="13">
        <v>93300</v>
      </c>
      <c r="I257" s="13">
        <v>21243</v>
      </c>
      <c r="J257" t="s">
        <v>26</v>
      </c>
      <c r="K257" s="13">
        <f>HR_Data[[#This Row],[Salary]]+HR_Data[[#This Row],[Bonus]]</f>
        <v>114543</v>
      </c>
    </row>
    <row r="258" spans="1:11" x14ac:dyDescent="0.25">
      <c r="A258">
        <v>1257</v>
      </c>
      <c r="B258" t="s">
        <v>298</v>
      </c>
      <c r="C258" t="s">
        <v>9</v>
      </c>
      <c r="D258" t="s">
        <v>15</v>
      </c>
      <c r="E258" t="s">
        <v>17</v>
      </c>
      <c r="F258" t="s">
        <v>22</v>
      </c>
      <c r="G258">
        <v>45</v>
      </c>
      <c r="H258" s="13">
        <v>83171</v>
      </c>
      <c r="I258" s="13">
        <v>12933</v>
      </c>
      <c r="J258" t="s">
        <v>25</v>
      </c>
      <c r="K258" s="13">
        <f>HR_Data[[#This Row],[Salary]]+HR_Data[[#This Row],[Bonus]]</f>
        <v>96104</v>
      </c>
    </row>
    <row r="259" spans="1:11" x14ac:dyDescent="0.25">
      <c r="A259">
        <v>1258</v>
      </c>
      <c r="B259" t="s">
        <v>299</v>
      </c>
      <c r="C259" t="s">
        <v>8</v>
      </c>
      <c r="D259" t="s">
        <v>15</v>
      </c>
      <c r="E259" t="s">
        <v>18</v>
      </c>
      <c r="F259" t="s">
        <v>23</v>
      </c>
      <c r="G259">
        <v>33</v>
      </c>
      <c r="H259" s="13">
        <v>65771</v>
      </c>
      <c r="I259" s="13">
        <v>14436</v>
      </c>
      <c r="J259" t="s">
        <v>26</v>
      </c>
      <c r="K259" s="13">
        <f>HR_Data[[#This Row],[Salary]]+HR_Data[[#This Row],[Bonus]]</f>
        <v>80207</v>
      </c>
    </row>
    <row r="260" spans="1:11" x14ac:dyDescent="0.25">
      <c r="A260">
        <v>1259</v>
      </c>
      <c r="B260" t="s">
        <v>300</v>
      </c>
      <c r="C260" t="s">
        <v>8</v>
      </c>
      <c r="D260" t="s">
        <v>14</v>
      </c>
      <c r="E260" t="s">
        <v>17</v>
      </c>
      <c r="F260" t="s">
        <v>21</v>
      </c>
      <c r="G260">
        <v>37</v>
      </c>
      <c r="H260" s="13">
        <v>69554.53</v>
      </c>
      <c r="I260" s="13">
        <v>22669</v>
      </c>
      <c r="J260" t="s">
        <v>25</v>
      </c>
      <c r="K260" s="13">
        <f>HR_Data[[#This Row],[Salary]]+HR_Data[[#This Row],[Bonus]]</f>
        <v>92223.53</v>
      </c>
    </row>
    <row r="261" spans="1:11" x14ac:dyDescent="0.25">
      <c r="A261">
        <v>1260</v>
      </c>
      <c r="B261" t="s">
        <v>301</v>
      </c>
      <c r="C261" t="s">
        <v>12</v>
      </c>
      <c r="D261" t="s">
        <v>15</v>
      </c>
      <c r="E261" t="s">
        <v>20</v>
      </c>
      <c r="F261" t="s">
        <v>24</v>
      </c>
      <c r="G261">
        <v>44</v>
      </c>
      <c r="H261" s="13">
        <v>86354</v>
      </c>
      <c r="I261" s="13">
        <v>11474</v>
      </c>
      <c r="J261" t="s">
        <v>25</v>
      </c>
      <c r="K261" s="13">
        <f>HR_Data[[#This Row],[Salary]]+HR_Data[[#This Row],[Bonus]]</f>
        <v>97828</v>
      </c>
    </row>
    <row r="262" spans="1:11" x14ac:dyDescent="0.25">
      <c r="A262">
        <v>1261</v>
      </c>
      <c r="B262" t="s">
        <v>302</v>
      </c>
      <c r="C262" t="s">
        <v>12</v>
      </c>
      <c r="D262" t="s">
        <v>14</v>
      </c>
      <c r="E262" t="s">
        <v>20</v>
      </c>
      <c r="F262" t="s">
        <v>22</v>
      </c>
      <c r="G262">
        <v>30</v>
      </c>
      <c r="H262" s="13">
        <v>57289</v>
      </c>
      <c r="I262" s="13">
        <v>19679</v>
      </c>
      <c r="J262" t="s">
        <v>25</v>
      </c>
      <c r="K262" s="13">
        <f>HR_Data[[#This Row],[Salary]]+HR_Data[[#This Row],[Bonus]]</f>
        <v>76968</v>
      </c>
    </row>
    <row r="263" spans="1:11" x14ac:dyDescent="0.25">
      <c r="A263">
        <v>1262</v>
      </c>
      <c r="B263" t="s">
        <v>303</v>
      </c>
      <c r="C263" t="s">
        <v>10</v>
      </c>
      <c r="D263" t="s">
        <v>15</v>
      </c>
      <c r="E263" t="s">
        <v>18</v>
      </c>
      <c r="F263" t="s">
        <v>24</v>
      </c>
      <c r="G263">
        <v>53</v>
      </c>
      <c r="H263" s="13">
        <v>53892</v>
      </c>
      <c r="I263" s="13">
        <v>16228</v>
      </c>
      <c r="J263" t="s">
        <v>25</v>
      </c>
      <c r="K263" s="13">
        <f>HR_Data[[#This Row],[Salary]]+HR_Data[[#This Row],[Bonus]]</f>
        <v>70120</v>
      </c>
    </row>
    <row r="264" spans="1:11" x14ac:dyDescent="0.25">
      <c r="A264">
        <v>1263</v>
      </c>
      <c r="B264" t="s">
        <v>304</v>
      </c>
      <c r="C264" t="s">
        <v>12</v>
      </c>
      <c r="D264" t="s">
        <v>14</v>
      </c>
      <c r="E264" t="s">
        <v>18</v>
      </c>
      <c r="F264" t="s">
        <v>24</v>
      </c>
      <c r="G264">
        <v>36</v>
      </c>
      <c r="H264" s="13">
        <v>91196</v>
      </c>
      <c r="I264" s="13">
        <v>5770</v>
      </c>
      <c r="J264" t="s">
        <v>27</v>
      </c>
      <c r="K264" s="13">
        <f>HR_Data[[#This Row],[Salary]]+HR_Data[[#This Row],[Bonus]]</f>
        <v>96966</v>
      </c>
    </row>
    <row r="265" spans="1:11" x14ac:dyDescent="0.25">
      <c r="A265">
        <v>1264</v>
      </c>
      <c r="B265" t="s">
        <v>305</v>
      </c>
      <c r="C265" t="s">
        <v>9</v>
      </c>
      <c r="D265" t="s">
        <v>15</v>
      </c>
      <c r="E265" t="s">
        <v>17</v>
      </c>
      <c r="F265" t="s">
        <v>23</v>
      </c>
      <c r="G265">
        <v>58</v>
      </c>
      <c r="H265" s="13">
        <v>115057</v>
      </c>
      <c r="I265" s="13">
        <v>6843</v>
      </c>
      <c r="J265" t="s">
        <v>25</v>
      </c>
      <c r="K265" s="13">
        <f>HR_Data[[#This Row],[Salary]]+HR_Data[[#This Row],[Bonus]]</f>
        <v>121900</v>
      </c>
    </row>
    <row r="266" spans="1:11" x14ac:dyDescent="0.25">
      <c r="A266">
        <v>1265</v>
      </c>
      <c r="B266" t="s">
        <v>306</v>
      </c>
      <c r="C266" t="s">
        <v>8</v>
      </c>
      <c r="D266" t="s">
        <v>14</v>
      </c>
      <c r="E266" t="s">
        <v>19</v>
      </c>
      <c r="F266" t="s">
        <v>23</v>
      </c>
      <c r="G266">
        <v>34</v>
      </c>
      <c r="H266" s="13">
        <v>58409</v>
      </c>
      <c r="I266" s="13">
        <v>5073</v>
      </c>
      <c r="J266" t="s">
        <v>25</v>
      </c>
      <c r="K266" s="13">
        <f>HR_Data[[#This Row],[Salary]]+HR_Data[[#This Row],[Bonus]]</f>
        <v>63482</v>
      </c>
    </row>
    <row r="267" spans="1:11" x14ac:dyDescent="0.25">
      <c r="A267">
        <v>1266</v>
      </c>
      <c r="B267" t="s">
        <v>307</v>
      </c>
      <c r="C267" t="s">
        <v>12</v>
      </c>
      <c r="D267" t="s">
        <v>15</v>
      </c>
      <c r="E267" t="s">
        <v>18</v>
      </c>
      <c r="F267" t="s">
        <v>23</v>
      </c>
      <c r="G267">
        <v>26</v>
      </c>
      <c r="H267" s="13">
        <v>54470</v>
      </c>
      <c r="I267" s="13">
        <v>23044</v>
      </c>
      <c r="J267" t="s">
        <v>25</v>
      </c>
      <c r="K267" s="13">
        <f>HR_Data[[#This Row],[Salary]]+HR_Data[[#This Row],[Bonus]]</f>
        <v>77514</v>
      </c>
    </row>
    <row r="268" spans="1:11" x14ac:dyDescent="0.25">
      <c r="A268">
        <v>1267</v>
      </c>
      <c r="B268" t="s">
        <v>308</v>
      </c>
      <c r="C268" t="s">
        <v>12</v>
      </c>
      <c r="D268" t="s">
        <v>15</v>
      </c>
      <c r="E268" t="s">
        <v>16</v>
      </c>
      <c r="F268" t="s">
        <v>22</v>
      </c>
      <c r="G268">
        <v>32</v>
      </c>
      <c r="H268" s="13">
        <v>38385</v>
      </c>
      <c r="I268" s="13">
        <v>21059</v>
      </c>
      <c r="J268" t="s">
        <v>25</v>
      </c>
      <c r="K268" s="13">
        <f>HR_Data[[#This Row],[Salary]]+HR_Data[[#This Row],[Bonus]]</f>
        <v>59444</v>
      </c>
    </row>
    <row r="269" spans="1:11" x14ac:dyDescent="0.25">
      <c r="A269">
        <v>1268</v>
      </c>
      <c r="B269" t="s">
        <v>309</v>
      </c>
      <c r="C269" t="s">
        <v>10</v>
      </c>
      <c r="D269" t="s">
        <v>14</v>
      </c>
      <c r="E269" t="s">
        <v>20</v>
      </c>
      <c r="F269" t="s">
        <v>24</v>
      </c>
      <c r="G269">
        <v>31</v>
      </c>
      <c r="H269" s="13">
        <v>43296</v>
      </c>
      <c r="I269" s="13">
        <v>25733</v>
      </c>
      <c r="J269" t="s">
        <v>25</v>
      </c>
      <c r="K269" s="13">
        <f>HR_Data[[#This Row],[Salary]]+HR_Data[[#This Row],[Bonus]]</f>
        <v>69029</v>
      </c>
    </row>
    <row r="270" spans="1:11" x14ac:dyDescent="0.25">
      <c r="A270">
        <v>1269</v>
      </c>
      <c r="B270" t="s">
        <v>310</v>
      </c>
      <c r="C270" t="s">
        <v>11</v>
      </c>
      <c r="D270" t="s">
        <v>14</v>
      </c>
      <c r="E270" t="s">
        <v>16</v>
      </c>
      <c r="F270" t="s">
        <v>22</v>
      </c>
      <c r="G270">
        <v>34</v>
      </c>
      <c r="H270" s="13">
        <v>81716</v>
      </c>
      <c r="I270" s="13">
        <v>28486</v>
      </c>
      <c r="J270" t="s">
        <v>25</v>
      </c>
      <c r="K270" s="13">
        <f>HR_Data[[#This Row],[Salary]]+HR_Data[[#This Row],[Bonus]]</f>
        <v>110202</v>
      </c>
    </row>
    <row r="271" spans="1:11" x14ac:dyDescent="0.25">
      <c r="A271">
        <v>1270</v>
      </c>
      <c r="B271" t="s">
        <v>311</v>
      </c>
      <c r="C271" t="s">
        <v>10</v>
      </c>
      <c r="D271" t="s">
        <v>14</v>
      </c>
      <c r="E271" t="s">
        <v>20</v>
      </c>
      <c r="F271" t="s">
        <v>23</v>
      </c>
      <c r="G271">
        <v>36</v>
      </c>
      <c r="H271" s="13">
        <v>109152</v>
      </c>
      <c r="I271" s="13">
        <v>13000</v>
      </c>
      <c r="J271" t="s">
        <v>25</v>
      </c>
      <c r="K271" s="13">
        <f>HR_Data[[#This Row],[Salary]]+HR_Data[[#This Row],[Bonus]]</f>
        <v>122152</v>
      </c>
    </row>
    <row r="272" spans="1:11" x14ac:dyDescent="0.25">
      <c r="A272">
        <v>1271</v>
      </c>
      <c r="B272" t="s">
        <v>312</v>
      </c>
      <c r="C272" t="s">
        <v>9</v>
      </c>
      <c r="D272" t="s">
        <v>14</v>
      </c>
      <c r="E272" t="s">
        <v>20</v>
      </c>
      <c r="F272" t="s">
        <v>24</v>
      </c>
      <c r="G272">
        <v>28</v>
      </c>
      <c r="H272" s="13">
        <v>46382</v>
      </c>
      <c r="I272" s="13">
        <v>25202</v>
      </c>
      <c r="J272" t="s">
        <v>25</v>
      </c>
      <c r="K272" s="13">
        <f>HR_Data[[#This Row],[Salary]]+HR_Data[[#This Row],[Bonus]]</f>
        <v>71584</v>
      </c>
    </row>
    <row r="273" spans="1:12" x14ac:dyDescent="0.25">
      <c r="A273">
        <v>1272</v>
      </c>
      <c r="B273" t="s">
        <v>313</v>
      </c>
      <c r="C273" t="s">
        <v>8</v>
      </c>
      <c r="D273" t="s">
        <v>15</v>
      </c>
      <c r="E273" t="s">
        <v>18</v>
      </c>
      <c r="F273" t="s">
        <v>22</v>
      </c>
      <c r="G273">
        <v>49</v>
      </c>
      <c r="H273" s="13">
        <v>96675</v>
      </c>
      <c r="I273" s="13">
        <v>18273</v>
      </c>
      <c r="J273" t="s">
        <v>25</v>
      </c>
      <c r="K273" s="13">
        <f>HR_Data[[#This Row],[Salary]]+HR_Data[[#This Row],[Bonus]]</f>
        <v>114948</v>
      </c>
    </row>
    <row r="274" spans="1:12" x14ac:dyDescent="0.25">
      <c r="A274">
        <v>1273</v>
      </c>
      <c r="B274" t="s">
        <v>314</v>
      </c>
      <c r="C274" t="s">
        <v>10</v>
      </c>
      <c r="D274" t="s">
        <v>15</v>
      </c>
      <c r="E274" t="s">
        <v>18</v>
      </c>
      <c r="F274" t="s">
        <v>22</v>
      </c>
      <c r="G274">
        <v>53</v>
      </c>
      <c r="H274" s="13">
        <v>117596</v>
      </c>
      <c r="I274" s="13">
        <v>21121</v>
      </c>
      <c r="J274" t="s">
        <v>25</v>
      </c>
      <c r="K274" s="13">
        <f>HR_Data[[#This Row],[Salary]]+HR_Data[[#This Row],[Bonus]]</f>
        <v>138717</v>
      </c>
    </row>
    <row r="275" spans="1:12" x14ac:dyDescent="0.25">
      <c r="A275">
        <v>1274</v>
      </c>
      <c r="B275" t="s">
        <v>315</v>
      </c>
      <c r="C275" t="s">
        <v>12</v>
      </c>
      <c r="D275" t="s">
        <v>14</v>
      </c>
      <c r="E275" t="s">
        <v>16</v>
      </c>
      <c r="F275" t="s">
        <v>21</v>
      </c>
      <c r="G275">
        <v>56</v>
      </c>
      <c r="H275" s="13">
        <v>42419</v>
      </c>
      <c r="I275" s="13">
        <v>5331</v>
      </c>
      <c r="J275" t="s">
        <v>26</v>
      </c>
      <c r="K275" s="13">
        <f>HR_Data[[#This Row],[Salary]]+HR_Data[[#This Row],[Bonus]]</f>
        <v>47750</v>
      </c>
    </row>
    <row r="276" spans="1:12" x14ac:dyDescent="0.25">
      <c r="A276">
        <v>1275</v>
      </c>
      <c r="B276" t="s">
        <v>316</v>
      </c>
      <c r="C276" t="s">
        <v>8</v>
      </c>
      <c r="D276" t="s">
        <v>15</v>
      </c>
      <c r="E276" t="s">
        <v>20</v>
      </c>
      <c r="F276" t="s">
        <v>22</v>
      </c>
      <c r="G276">
        <v>36</v>
      </c>
      <c r="H276" s="13">
        <v>113321</v>
      </c>
      <c r="I276" s="13">
        <v>22805</v>
      </c>
      <c r="J276" t="s">
        <v>25</v>
      </c>
      <c r="K276" s="13">
        <f>HR_Data[[#This Row],[Salary]]+HR_Data[[#This Row],[Bonus]]</f>
        <v>136126</v>
      </c>
    </row>
    <row r="277" spans="1:12" x14ac:dyDescent="0.25">
      <c r="A277">
        <v>1276</v>
      </c>
      <c r="B277" t="s">
        <v>317</v>
      </c>
      <c r="C277" t="s">
        <v>8</v>
      </c>
      <c r="D277" t="s">
        <v>14</v>
      </c>
      <c r="E277" t="s">
        <v>16</v>
      </c>
      <c r="F277" t="s">
        <v>23</v>
      </c>
      <c r="G277">
        <v>57</v>
      </c>
      <c r="H277" s="13">
        <v>101238</v>
      </c>
      <c r="I277" s="13">
        <v>12512</v>
      </c>
      <c r="J277" t="s">
        <v>25</v>
      </c>
      <c r="K277" s="13">
        <f>HR_Data[[#This Row],[Salary]]+HR_Data[[#This Row],[Bonus]]</f>
        <v>113750</v>
      </c>
    </row>
    <row r="278" spans="1:12" x14ac:dyDescent="0.25">
      <c r="A278">
        <v>1277</v>
      </c>
      <c r="B278" t="s">
        <v>318</v>
      </c>
      <c r="C278" t="s">
        <v>12</v>
      </c>
      <c r="D278" t="s">
        <v>14</v>
      </c>
      <c r="E278" t="s">
        <v>19</v>
      </c>
      <c r="F278" t="s">
        <v>22</v>
      </c>
      <c r="G278">
        <v>42</v>
      </c>
      <c r="H278" s="13">
        <v>114753</v>
      </c>
      <c r="I278" s="13">
        <v>28274</v>
      </c>
      <c r="J278" t="s">
        <v>25</v>
      </c>
      <c r="K278" s="13">
        <f>HR_Data[[#This Row],[Salary]]+HR_Data[[#This Row],[Bonus]]</f>
        <v>143027</v>
      </c>
    </row>
    <row r="279" spans="1:12" x14ac:dyDescent="0.25">
      <c r="A279">
        <v>1278</v>
      </c>
      <c r="B279" t="s">
        <v>319</v>
      </c>
      <c r="C279" t="s">
        <v>10</v>
      </c>
      <c r="D279" t="s">
        <v>15</v>
      </c>
      <c r="E279" t="s">
        <v>16</v>
      </c>
      <c r="F279" t="s">
        <v>24</v>
      </c>
      <c r="G279">
        <v>27</v>
      </c>
      <c r="H279" s="13">
        <v>59291</v>
      </c>
      <c r="I279" s="13">
        <v>9931</v>
      </c>
      <c r="J279" t="s">
        <v>26</v>
      </c>
      <c r="K279" s="13">
        <f>HR_Data[[#This Row],[Salary]]+HR_Data[[#This Row],[Bonus]]</f>
        <v>69222</v>
      </c>
    </row>
    <row r="280" spans="1:12" x14ac:dyDescent="0.25">
      <c r="A280">
        <v>1279</v>
      </c>
      <c r="B280" t="s">
        <v>320</v>
      </c>
      <c r="C280" t="s">
        <v>12</v>
      </c>
      <c r="D280" t="s">
        <v>15</v>
      </c>
      <c r="E280" t="s">
        <v>17</v>
      </c>
      <c r="F280" t="s">
        <v>22</v>
      </c>
      <c r="G280">
        <v>22</v>
      </c>
      <c r="H280" s="13">
        <v>32397</v>
      </c>
      <c r="I280" s="13">
        <v>17742</v>
      </c>
      <c r="J280" t="s">
        <v>25</v>
      </c>
      <c r="K280" s="13">
        <f>HR_Data[[#This Row],[Salary]]+HR_Data[[#This Row],[Bonus]]</f>
        <v>50139</v>
      </c>
    </row>
    <row r="281" spans="1:12" x14ac:dyDescent="0.25">
      <c r="A281">
        <v>1280</v>
      </c>
      <c r="B281" t="s">
        <v>321</v>
      </c>
      <c r="C281" t="s">
        <v>11</v>
      </c>
      <c r="D281" t="s">
        <v>27</v>
      </c>
      <c r="E281" t="s">
        <v>16</v>
      </c>
      <c r="F281" t="s">
        <v>21</v>
      </c>
      <c r="G281">
        <v>25</v>
      </c>
      <c r="H281" s="13">
        <v>77888</v>
      </c>
      <c r="I281" s="13">
        <v>27409</v>
      </c>
      <c r="J281" t="s">
        <v>25</v>
      </c>
      <c r="K281" s="13">
        <f>HR_Data[[#This Row],[Salary]]+HR_Data[[#This Row],[Bonus]]</f>
        <v>105297</v>
      </c>
    </row>
    <row r="282" spans="1:12" x14ac:dyDescent="0.25">
      <c r="A282">
        <v>1281</v>
      </c>
      <c r="B282" t="s">
        <v>322</v>
      </c>
      <c r="C282" t="s">
        <v>8</v>
      </c>
      <c r="D282" t="s">
        <v>15</v>
      </c>
      <c r="E282" t="s">
        <v>17</v>
      </c>
      <c r="F282" t="s">
        <v>24</v>
      </c>
      <c r="G282">
        <v>32</v>
      </c>
      <c r="H282" s="13">
        <v>55169</v>
      </c>
      <c r="I282" s="13">
        <v>18426</v>
      </c>
      <c r="J282" t="s">
        <v>26</v>
      </c>
      <c r="K282" s="13">
        <f>HR_Data[[#This Row],[Salary]]+HR_Data[[#This Row],[Bonus]]</f>
        <v>73595</v>
      </c>
    </row>
    <row r="283" spans="1:12" x14ac:dyDescent="0.25">
      <c r="A283">
        <v>1282</v>
      </c>
      <c r="B283" t="s">
        <v>323</v>
      </c>
      <c r="C283" t="s">
        <v>2042</v>
      </c>
      <c r="D283" t="s">
        <v>15</v>
      </c>
      <c r="E283" t="s">
        <v>17</v>
      </c>
      <c r="F283" t="s">
        <v>24</v>
      </c>
      <c r="G283">
        <v>47</v>
      </c>
      <c r="H283" s="13">
        <v>82182</v>
      </c>
      <c r="I283" s="13">
        <v>25792</v>
      </c>
      <c r="J283" t="s">
        <v>25</v>
      </c>
      <c r="K283" s="13">
        <f>HR_Data[[#This Row],[Salary]]+HR_Data[[#This Row],[Bonus]]</f>
        <v>107974</v>
      </c>
    </row>
    <row r="284" spans="1:12" x14ac:dyDescent="0.25">
      <c r="A284">
        <v>1283</v>
      </c>
      <c r="B284" t="s">
        <v>324</v>
      </c>
      <c r="C284" t="s">
        <v>2042</v>
      </c>
      <c r="D284" t="s">
        <v>15</v>
      </c>
      <c r="E284" t="s">
        <v>17</v>
      </c>
      <c r="F284" t="s">
        <v>21</v>
      </c>
      <c r="G284">
        <v>58</v>
      </c>
      <c r="H284" s="13">
        <v>69554.53</v>
      </c>
      <c r="I284" s="13">
        <v>10113</v>
      </c>
      <c r="J284" t="s">
        <v>25</v>
      </c>
      <c r="K284" s="13">
        <f>HR_Data[[#This Row],[Salary]]+HR_Data[[#This Row],[Bonus]]</f>
        <v>79667.53</v>
      </c>
      <c r="L284" s="3"/>
    </row>
    <row r="285" spans="1:12" x14ac:dyDescent="0.25">
      <c r="A285">
        <v>1284</v>
      </c>
      <c r="B285" t="s">
        <v>325</v>
      </c>
      <c r="C285" t="s">
        <v>9</v>
      </c>
      <c r="D285" t="s">
        <v>15</v>
      </c>
      <c r="E285" t="s">
        <v>19</v>
      </c>
      <c r="F285" t="s">
        <v>23</v>
      </c>
      <c r="G285">
        <v>44</v>
      </c>
      <c r="H285" s="13">
        <v>62249</v>
      </c>
      <c r="I285" s="13">
        <v>13419</v>
      </c>
      <c r="J285" t="s">
        <v>25</v>
      </c>
      <c r="K285" s="13">
        <f>HR_Data[[#This Row],[Salary]]+HR_Data[[#This Row],[Bonus]]</f>
        <v>75668</v>
      </c>
    </row>
    <row r="286" spans="1:12" x14ac:dyDescent="0.25">
      <c r="A286">
        <v>1285</v>
      </c>
      <c r="B286" t="s">
        <v>326</v>
      </c>
      <c r="C286" t="s">
        <v>12</v>
      </c>
      <c r="D286" t="s">
        <v>14</v>
      </c>
      <c r="E286" t="s">
        <v>16</v>
      </c>
      <c r="F286" t="s">
        <v>24</v>
      </c>
      <c r="G286">
        <v>50</v>
      </c>
      <c r="H286" s="13">
        <v>48341</v>
      </c>
      <c r="I286" s="13">
        <v>7881</v>
      </c>
      <c r="J286" t="s">
        <v>26</v>
      </c>
      <c r="K286" s="13">
        <f>HR_Data[[#This Row],[Salary]]+HR_Data[[#This Row],[Bonus]]</f>
        <v>56222</v>
      </c>
    </row>
    <row r="287" spans="1:12" x14ac:dyDescent="0.25">
      <c r="A287">
        <v>1286</v>
      </c>
      <c r="B287" t="s">
        <v>327</v>
      </c>
      <c r="C287" t="s">
        <v>12</v>
      </c>
      <c r="D287" t="s">
        <v>14</v>
      </c>
      <c r="E287" t="s">
        <v>16</v>
      </c>
      <c r="F287" t="s">
        <v>23</v>
      </c>
      <c r="G287">
        <v>42</v>
      </c>
      <c r="H287" s="13">
        <v>95603</v>
      </c>
      <c r="I287" s="13">
        <v>18145</v>
      </c>
      <c r="J287" t="s">
        <v>26</v>
      </c>
      <c r="K287" s="13">
        <f>HR_Data[[#This Row],[Salary]]+HR_Data[[#This Row],[Bonus]]</f>
        <v>113748</v>
      </c>
    </row>
    <row r="288" spans="1:12" x14ac:dyDescent="0.25">
      <c r="A288">
        <v>1287</v>
      </c>
      <c r="B288" t="s">
        <v>328</v>
      </c>
      <c r="C288" t="s">
        <v>9</v>
      </c>
      <c r="D288" t="s">
        <v>14</v>
      </c>
      <c r="E288" t="s">
        <v>19</v>
      </c>
      <c r="F288" t="s">
        <v>24</v>
      </c>
      <c r="G288">
        <v>48</v>
      </c>
      <c r="H288" s="13">
        <v>66144</v>
      </c>
      <c r="I288" s="13">
        <v>18556</v>
      </c>
      <c r="J288" t="s">
        <v>25</v>
      </c>
      <c r="K288" s="13">
        <f>HR_Data[[#This Row],[Salary]]+HR_Data[[#This Row],[Bonus]]</f>
        <v>84700</v>
      </c>
    </row>
    <row r="289" spans="1:11" x14ac:dyDescent="0.25">
      <c r="A289">
        <v>1288</v>
      </c>
      <c r="B289" t="s">
        <v>329</v>
      </c>
      <c r="C289" t="s">
        <v>9</v>
      </c>
      <c r="D289" t="s">
        <v>14</v>
      </c>
      <c r="E289" t="s">
        <v>20</v>
      </c>
      <c r="F289" t="s">
        <v>24</v>
      </c>
      <c r="G289">
        <v>34</v>
      </c>
      <c r="H289" s="13">
        <v>69554.53</v>
      </c>
      <c r="I289" s="13">
        <v>24249</v>
      </c>
      <c r="J289" t="s">
        <v>25</v>
      </c>
      <c r="K289" s="13">
        <f>HR_Data[[#This Row],[Salary]]+HR_Data[[#This Row],[Bonus]]</f>
        <v>93803.53</v>
      </c>
    </row>
    <row r="290" spans="1:11" x14ac:dyDescent="0.25">
      <c r="A290">
        <v>1289</v>
      </c>
      <c r="B290" t="s">
        <v>330</v>
      </c>
      <c r="C290" t="s">
        <v>9</v>
      </c>
      <c r="D290" t="s">
        <v>14</v>
      </c>
      <c r="E290" t="s">
        <v>18</v>
      </c>
      <c r="F290" t="s">
        <v>23</v>
      </c>
      <c r="G290">
        <v>44</v>
      </c>
      <c r="H290" s="13">
        <v>99360</v>
      </c>
      <c r="I290" s="13">
        <v>7575</v>
      </c>
      <c r="J290" t="s">
        <v>25</v>
      </c>
      <c r="K290" s="13">
        <f>HR_Data[[#This Row],[Salary]]+HR_Data[[#This Row],[Bonus]]</f>
        <v>106935</v>
      </c>
    </row>
    <row r="291" spans="1:11" x14ac:dyDescent="0.25">
      <c r="A291">
        <v>1290</v>
      </c>
      <c r="B291" t="s">
        <v>331</v>
      </c>
      <c r="C291" t="s">
        <v>8</v>
      </c>
      <c r="D291" t="s">
        <v>15</v>
      </c>
      <c r="E291" t="s">
        <v>16</v>
      </c>
      <c r="F291" t="s">
        <v>24</v>
      </c>
      <c r="G291">
        <v>37</v>
      </c>
      <c r="H291" s="13">
        <v>33444</v>
      </c>
      <c r="I291" s="13">
        <v>17714</v>
      </c>
      <c r="J291" t="s">
        <v>26</v>
      </c>
      <c r="K291" s="13">
        <f>HR_Data[[#This Row],[Salary]]+HR_Data[[#This Row],[Bonus]]</f>
        <v>51158</v>
      </c>
    </row>
    <row r="292" spans="1:11" x14ac:dyDescent="0.25">
      <c r="A292">
        <v>1291</v>
      </c>
      <c r="B292" t="s">
        <v>332</v>
      </c>
      <c r="C292" t="s">
        <v>11</v>
      </c>
      <c r="D292" t="s">
        <v>14</v>
      </c>
      <c r="E292" t="s">
        <v>18</v>
      </c>
      <c r="F292" t="s">
        <v>23</v>
      </c>
      <c r="G292">
        <v>51</v>
      </c>
      <c r="H292" s="13">
        <v>65647</v>
      </c>
      <c r="I292" s="13">
        <v>11185</v>
      </c>
      <c r="J292" t="s">
        <v>26</v>
      </c>
      <c r="K292" s="13">
        <f>HR_Data[[#This Row],[Salary]]+HR_Data[[#This Row],[Bonus]]</f>
        <v>76832</v>
      </c>
    </row>
    <row r="293" spans="1:11" x14ac:dyDescent="0.25">
      <c r="A293">
        <v>1292</v>
      </c>
      <c r="B293" t="s">
        <v>333</v>
      </c>
      <c r="C293" t="s">
        <v>12</v>
      </c>
      <c r="D293" t="s">
        <v>14</v>
      </c>
      <c r="E293" t="s">
        <v>19</v>
      </c>
      <c r="F293" t="s">
        <v>21</v>
      </c>
      <c r="G293">
        <v>25</v>
      </c>
      <c r="H293" s="13">
        <v>118843</v>
      </c>
      <c r="I293" s="13">
        <v>13656</v>
      </c>
      <c r="J293" t="s">
        <v>25</v>
      </c>
      <c r="K293" s="13">
        <f>HR_Data[[#This Row],[Salary]]+HR_Data[[#This Row],[Bonus]]</f>
        <v>132499</v>
      </c>
    </row>
    <row r="294" spans="1:11" x14ac:dyDescent="0.25">
      <c r="A294">
        <v>1293</v>
      </c>
      <c r="B294" t="s">
        <v>334</v>
      </c>
      <c r="C294" t="s">
        <v>8</v>
      </c>
      <c r="D294" t="s">
        <v>14</v>
      </c>
      <c r="E294" t="s">
        <v>20</v>
      </c>
      <c r="F294" t="s">
        <v>23</v>
      </c>
      <c r="G294">
        <v>37</v>
      </c>
      <c r="H294" s="13">
        <v>30974</v>
      </c>
      <c r="I294" s="13">
        <v>10741</v>
      </c>
      <c r="J294" t="s">
        <v>25</v>
      </c>
      <c r="K294" s="13">
        <f>HR_Data[[#This Row],[Salary]]+HR_Data[[#This Row],[Bonus]]</f>
        <v>41715</v>
      </c>
    </row>
    <row r="295" spans="1:11" x14ac:dyDescent="0.25">
      <c r="A295">
        <v>1294</v>
      </c>
      <c r="B295" t="s">
        <v>335</v>
      </c>
      <c r="C295" t="s">
        <v>9</v>
      </c>
      <c r="D295" t="s">
        <v>14</v>
      </c>
      <c r="E295" t="s">
        <v>20</v>
      </c>
      <c r="F295" t="s">
        <v>21</v>
      </c>
      <c r="G295">
        <v>52</v>
      </c>
      <c r="H295" s="13">
        <v>58383</v>
      </c>
      <c r="I295" s="13">
        <v>21661</v>
      </c>
      <c r="J295" t="s">
        <v>25</v>
      </c>
      <c r="K295" s="13">
        <f>HR_Data[[#This Row],[Salary]]+HR_Data[[#This Row],[Bonus]]</f>
        <v>80044</v>
      </c>
    </row>
    <row r="296" spans="1:11" x14ac:dyDescent="0.25">
      <c r="A296">
        <v>1295</v>
      </c>
      <c r="B296" t="s">
        <v>336</v>
      </c>
      <c r="C296" t="s">
        <v>12</v>
      </c>
      <c r="D296" t="s">
        <v>14</v>
      </c>
      <c r="E296" t="s">
        <v>20</v>
      </c>
      <c r="F296" t="s">
        <v>24</v>
      </c>
      <c r="G296">
        <v>46</v>
      </c>
      <c r="H296" s="13">
        <v>114826</v>
      </c>
      <c r="I296" s="13">
        <v>5065</v>
      </c>
      <c r="J296" t="s">
        <v>25</v>
      </c>
      <c r="K296" s="13">
        <f>HR_Data[[#This Row],[Salary]]+HR_Data[[#This Row],[Bonus]]</f>
        <v>119891</v>
      </c>
    </row>
    <row r="297" spans="1:11" x14ac:dyDescent="0.25">
      <c r="A297">
        <v>1296</v>
      </c>
      <c r="B297" t="s">
        <v>337</v>
      </c>
      <c r="C297" t="s">
        <v>8</v>
      </c>
      <c r="D297" t="s">
        <v>14</v>
      </c>
      <c r="E297" t="s">
        <v>19</v>
      </c>
      <c r="F297" t="s">
        <v>23</v>
      </c>
      <c r="G297">
        <v>33</v>
      </c>
      <c r="H297" s="13">
        <v>101552</v>
      </c>
      <c r="I297" s="13">
        <v>9262</v>
      </c>
      <c r="J297" t="s">
        <v>26</v>
      </c>
      <c r="K297" s="13">
        <f>HR_Data[[#This Row],[Salary]]+HR_Data[[#This Row],[Bonus]]</f>
        <v>110814</v>
      </c>
    </row>
    <row r="298" spans="1:11" x14ac:dyDescent="0.25">
      <c r="A298">
        <v>1297</v>
      </c>
      <c r="B298" t="s">
        <v>338</v>
      </c>
      <c r="C298" t="s">
        <v>27</v>
      </c>
      <c r="D298" t="s">
        <v>14</v>
      </c>
      <c r="E298" t="s">
        <v>17</v>
      </c>
      <c r="F298" t="s">
        <v>24</v>
      </c>
      <c r="G298">
        <v>47</v>
      </c>
      <c r="H298" s="13">
        <v>117648</v>
      </c>
      <c r="I298" s="13">
        <v>10704</v>
      </c>
      <c r="J298" t="s">
        <v>25</v>
      </c>
      <c r="K298" s="13">
        <f>HR_Data[[#This Row],[Salary]]+HR_Data[[#This Row],[Bonus]]</f>
        <v>128352</v>
      </c>
    </row>
    <row r="299" spans="1:11" x14ac:dyDescent="0.25">
      <c r="A299">
        <v>1298</v>
      </c>
      <c r="B299" t="s">
        <v>339</v>
      </c>
      <c r="C299" t="s">
        <v>8</v>
      </c>
      <c r="D299" t="s">
        <v>15</v>
      </c>
      <c r="E299" t="s">
        <v>17</v>
      </c>
      <c r="F299" t="s">
        <v>23</v>
      </c>
      <c r="G299">
        <v>58</v>
      </c>
      <c r="H299" s="13">
        <v>114049</v>
      </c>
      <c r="I299" s="13">
        <v>20355</v>
      </c>
      <c r="J299" t="s">
        <v>25</v>
      </c>
      <c r="K299" s="13">
        <f>HR_Data[[#This Row],[Salary]]+HR_Data[[#This Row],[Bonus]]</f>
        <v>134404</v>
      </c>
    </row>
    <row r="300" spans="1:11" x14ac:dyDescent="0.25">
      <c r="A300">
        <v>1299</v>
      </c>
      <c r="B300" t="s">
        <v>340</v>
      </c>
      <c r="C300" t="s">
        <v>11</v>
      </c>
      <c r="D300" t="s">
        <v>15</v>
      </c>
      <c r="E300" t="s">
        <v>18</v>
      </c>
      <c r="F300" t="s">
        <v>21</v>
      </c>
      <c r="G300">
        <v>54</v>
      </c>
      <c r="H300" s="13">
        <v>22956</v>
      </c>
      <c r="I300" s="13">
        <v>13594</v>
      </c>
      <c r="J300" t="s">
        <v>25</v>
      </c>
      <c r="K300" s="13">
        <f>HR_Data[[#This Row],[Salary]]+HR_Data[[#This Row],[Bonus]]</f>
        <v>36550</v>
      </c>
    </row>
    <row r="301" spans="1:11" x14ac:dyDescent="0.25">
      <c r="A301">
        <v>1300</v>
      </c>
      <c r="B301" t="s">
        <v>341</v>
      </c>
      <c r="C301" t="s">
        <v>9</v>
      </c>
      <c r="D301" t="s">
        <v>14</v>
      </c>
      <c r="E301" t="s">
        <v>17</v>
      </c>
      <c r="F301" t="s">
        <v>21</v>
      </c>
      <c r="G301">
        <v>49</v>
      </c>
      <c r="H301" s="13">
        <v>28077</v>
      </c>
      <c r="I301" s="13">
        <v>17175</v>
      </c>
      <c r="J301" t="s">
        <v>25</v>
      </c>
      <c r="K301" s="13">
        <f>HR_Data[[#This Row],[Salary]]+HR_Data[[#This Row],[Bonus]]</f>
        <v>45252</v>
      </c>
    </row>
    <row r="302" spans="1:11" x14ac:dyDescent="0.25">
      <c r="A302">
        <v>1301</v>
      </c>
      <c r="B302" t="s">
        <v>342</v>
      </c>
      <c r="C302" t="s">
        <v>11</v>
      </c>
      <c r="D302" t="s">
        <v>15</v>
      </c>
      <c r="E302" t="s">
        <v>17</v>
      </c>
      <c r="F302" t="s">
        <v>23</v>
      </c>
      <c r="G302">
        <v>30</v>
      </c>
      <c r="H302" s="13">
        <v>56490</v>
      </c>
      <c r="I302" s="13">
        <v>29373</v>
      </c>
      <c r="J302" t="s">
        <v>25</v>
      </c>
      <c r="K302" s="13">
        <f>HR_Data[[#This Row],[Salary]]+HR_Data[[#This Row],[Bonus]]</f>
        <v>85863</v>
      </c>
    </row>
    <row r="303" spans="1:11" x14ac:dyDescent="0.25">
      <c r="A303">
        <v>1302</v>
      </c>
      <c r="B303" t="s">
        <v>343</v>
      </c>
      <c r="C303" t="s">
        <v>12</v>
      </c>
      <c r="D303" t="s">
        <v>15</v>
      </c>
      <c r="E303" t="s">
        <v>20</v>
      </c>
      <c r="F303" t="s">
        <v>21</v>
      </c>
      <c r="G303">
        <v>33</v>
      </c>
      <c r="H303" s="13">
        <v>75612</v>
      </c>
      <c r="I303" s="13">
        <v>17696</v>
      </c>
      <c r="J303" t="s">
        <v>25</v>
      </c>
      <c r="K303" s="13">
        <f>HR_Data[[#This Row],[Salary]]+HR_Data[[#This Row],[Bonus]]</f>
        <v>93308</v>
      </c>
    </row>
    <row r="304" spans="1:11" x14ac:dyDescent="0.25">
      <c r="A304">
        <v>1303</v>
      </c>
      <c r="B304" t="s">
        <v>344</v>
      </c>
      <c r="C304" t="s">
        <v>9</v>
      </c>
      <c r="D304" t="s">
        <v>15</v>
      </c>
      <c r="E304" t="s">
        <v>20</v>
      </c>
      <c r="F304" t="s">
        <v>24</v>
      </c>
      <c r="G304">
        <v>26</v>
      </c>
      <c r="H304" s="13">
        <v>56159</v>
      </c>
      <c r="I304" s="13">
        <v>11255</v>
      </c>
      <c r="J304" t="s">
        <v>25</v>
      </c>
      <c r="K304" s="13">
        <f>HR_Data[[#This Row],[Salary]]+HR_Data[[#This Row],[Bonus]]</f>
        <v>67414</v>
      </c>
    </row>
    <row r="305" spans="1:11" x14ac:dyDescent="0.25">
      <c r="A305">
        <v>1304</v>
      </c>
      <c r="B305" t="s">
        <v>345</v>
      </c>
      <c r="C305" t="s">
        <v>12</v>
      </c>
      <c r="D305" t="s">
        <v>15</v>
      </c>
      <c r="E305" t="s">
        <v>18</v>
      </c>
      <c r="F305" t="s">
        <v>24</v>
      </c>
      <c r="G305">
        <v>49</v>
      </c>
      <c r="H305" s="13">
        <v>59710</v>
      </c>
      <c r="I305" s="13">
        <v>12441</v>
      </c>
      <c r="J305" t="s">
        <v>25</v>
      </c>
      <c r="K305" s="13">
        <f>HR_Data[[#This Row],[Salary]]+HR_Data[[#This Row],[Bonus]]</f>
        <v>72151</v>
      </c>
    </row>
    <row r="306" spans="1:11" x14ac:dyDescent="0.25">
      <c r="A306">
        <v>1305</v>
      </c>
      <c r="B306" t="s">
        <v>346</v>
      </c>
      <c r="C306" t="s">
        <v>2042</v>
      </c>
      <c r="D306" t="s">
        <v>14</v>
      </c>
      <c r="E306" t="s">
        <v>16</v>
      </c>
      <c r="F306" t="s">
        <v>22</v>
      </c>
      <c r="G306">
        <v>56</v>
      </c>
      <c r="H306" s="13">
        <v>103536</v>
      </c>
      <c r="I306" s="13">
        <v>26076</v>
      </c>
      <c r="J306" t="s">
        <v>25</v>
      </c>
      <c r="K306" s="13">
        <f>HR_Data[[#This Row],[Salary]]+HR_Data[[#This Row],[Bonus]]</f>
        <v>129612</v>
      </c>
    </row>
    <row r="307" spans="1:11" x14ac:dyDescent="0.25">
      <c r="A307">
        <v>1306</v>
      </c>
      <c r="B307" t="s">
        <v>347</v>
      </c>
      <c r="C307" t="s">
        <v>10</v>
      </c>
      <c r="D307" t="s">
        <v>15</v>
      </c>
      <c r="E307" t="s">
        <v>18</v>
      </c>
      <c r="F307" t="s">
        <v>21</v>
      </c>
      <c r="G307">
        <v>26</v>
      </c>
      <c r="H307" s="13">
        <v>33806</v>
      </c>
      <c r="I307" s="13">
        <v>19986</v>
      </c>
      <c r="J307" t="s">
        <v>25</v>
      </c>
      <c r="K307" s="13">
        <f>HR_Data[[#This Row],[Salary]]+HR_Data[[#This Row],[Bonus]]</f>
        <v>53792</v>
      </c>
    </row>
    <row r="308" spans="1:11" x14ac:dyDescent="0.25">
      <c r="A308">
        <v>1307</v>
      </c>
      <c r="B308" t="s">
        <v>348</v>
      </c>
      <c r="C308" t="s">
        <v>11</v>
      </c>
      <c r="D308" t="s">
        <v>15</v>
      </c>
      <c r="E308" t="s">
        <v>18</v>
      </c>
      <c r="F308" t="s">
        <v>24</v>
      </c>
      <c r="G308">
        <v>55</v>
      </c>
      <c r="H308" s="13">
        <v>98345</v>
      </c>
      <c r="I308" s="13">
        <v>18350</v>
      </c>
      <c r="J308" t="s">
        <v>25</v>
      </c>
      <c r="K308" s="13">
        <f>HR_Data[[#This Row],[Salary]]+HR_Data[[#This Row],[Bonus]]</f>
        <v>116695</v>
      </c>
    </row>
    <row r="309" spans="1:11" x14ac:dyDescent="0.25">
      <c r="A309">
        <v>1308</v>
      </c>
      <c r="B309" t="s">
        <v>349</v>
      </c>
      <c r="C309" t="s">
        <v>10</v>
      </c>
      <c r="D309" t="s">
        <v>15</v>
      </c>
      <c r="E309" t="s">
        <v>19</v>
      </c>
      <c r="F309" t="s">
        <v>23</v>
      </c>
      <c r="G309">
        <v>55</v>
      </c>
      <c r="H309" s="13">
        <v>100391</v>
      </c>
      <c r="I309" s="13">
        <v>19440</v>
      </c>
      <c r="J309" t="s">
        <v>25</v>
      </c>
      <c r="K309" s="13">
        <f>HR_Data[[#This Row],[Salary]]+HR_Data[[#This Row],[Bonus]]</f>
        <v>119831</v>
      </c>
    </row>
    <row r="310" spans="1:11" x14ac:dyDescent="0.25">
      <c r="A310">
        <v>1309</v>
      </c>
      <c r="B310" t="s">
        <v>350</v>
      </c>
      <c r="C310" t="s">
        <v>10</v>
      </c>
      <c r="D310" t="s">
        <v>14</v>
      </c>
      <c r="E310" t="s">
        <v>19</v>
      </c>
      <c r="F310" t="s">
        <v>21</v>
      </c>
      <c r="G310">
        <v>34</v>
      </c>
      <c r="H310" s="13">
        <v>114924</v>
      </c>
      <c r="I310" s="13">
        <v>25803</v>
      </c>
      <c r="J310" t="s">
        <v>25</v>
      </c>
      <c r="K310" s="13">
        <f>HR_Data[[#This Row],[Salary]]+HR_Data[[#This Row],[Bonus]]</f>
        <v>140727</v>
      </c>
    </row>
    <row r="311" spans="1:11" x14ac:dyDescent="0.25">
      <c r="A311">
        <v>1310</v>
      </c>
      <c r="B311" t="s">
        <v>351</v>
      </c>
      <c r="C311" t="s">
        <v>27</v>
      </c>
      <c r="D311" t="s">
        <v>14</v>
      </c>
      <c r="E311" t="s">
        <v>18</v>
      </c>
      <c r="F311" t="s">
        <v>24</v>
      </c>
      <c r="G311">
        <v>35</v>
      </c>
      <c r="H311" s="13">
        <v>26458</v>
      </c>
      <c r="I311" s="13">
        <v>12960</v>
      </c>
      <c r="J311" t="s">
        <v>25</v>
      </c>
      <c r="K311" s="13">
        <f>HR_Data[[#This Row],[Salary]]+HR_Data[[#This Row],[Bonus]]</f>
        <v>39418</v>
      </c>
    </row>
    <row r="312" spans="1:11" x14ac:dyDescent="0.25">
      <c r="A312">
        <v>1311</v>
      </c>
      <c r="B312" t="s">
        <v>352</v>
      </c>
      <c r="C312" t="s">
        <v>9</v>
      </c>
      <c r="D312" t="s">
        <v>14</v>
      </c>
      <c r="E312" t="s">
        <v>18</v>
      </c>
      <c r="F312" t="s">
        <v>21</v>
      </c>
      <c r="G312">
        <v>32</v>
      </c>
      <c r="H312" s="13">
        <v>55524</v>
      </c>
      <c r="I312" s="13">
        <v>27462</v>
      </c>
      <c r="J312" t="s">
        <v>25</v>
      </c>
      <c r="K312" s="13">
        <f>HR_Data[[#This Row],[Salary]]+HR_Data[[#This Row],[Bonus]]</f>
        <v>82986</v>
      </c>
    </row>
    <row r="313" spans="1:11" x14ac:dyDescent="0.25">
      <c r="A313">
        <v>1312</v>
      </c>
      <c r="B313" t="s">
        <v>353</v>
      </c>
      <c r="C313" t="s">
        <v>2042</v>
      </c>
      <c r="D313" t="s">
        <v>14</v>
      </c>
      <c r="E313" t="s">
        <v>18</v>
      </c>
      <c r="F313" t="s">
        <v>23</v>
      </c>
      <c r="G313">
        <v>59</v>
      </c>
      <c r="H313" s="13">
        <v>26853</v>
      </c>
      <c r="I313" s="13">
        <v>22821</v>
      </c>
      <c r="J313" t="s">
        <v>26</v>
      </c>
      <c r="K313" s="13">
        <f>HR_Data[[#This Row],[Salary]]+HR_Data[[#This Row],[Bonus]]</f>
        <v>49674</v>
      </c>
    </row>
    <row r="314" spans="1:11" x14ac:dyDescent="0.25">
      <c r="A314">
        <v>1313</v>
      </c>
      <c r="B314" t="s">
        <v>354</v>
      </c>
      <c r="C314" t="s">
        <v>12</v>
      </c>
      <c r="D314" t="s">
        <v>14</v>
      </c>
      <c r="E314" t="s">
        <v>17</v>
      </c>
      <c r="F314" t="s">
        <v>24</v>
      </c>
      <c r="G314">
        <v>25</v>
      </c>
      <c r="H314" s="13">
        <v>60477</v>
      </c>
      <c r="I314" s="13">
        <v>28416</v>
      </c>
      <c r="J314" t="s">
        <v>25</v>
      </c>
      <c r="K314" s="13">
        <f>HR_Data[[#This Row],[Salary]]+HR_Data[[#This Row],[Bonus]]</f>
        <v>88893</v>
      </c>
    </row>
    <row r="315" spans="1:11" x14ac:dyDescent="0.25">
      <c r="A315">
        <v>1314</v>
      </c>
      <c r="B315" t="s">
        <v>355</v>
      </c>
      <c r="C315" t="s">
        <v>8</v>
      </c>
      <c r="D315" t="s">
        <v>14</v>
      </c>
      <c r="E315" t="s">
        <v>19</v>
      </c>
      <c r="F315" t="s">
        <v>22</v>
      </c>
      <c r="G315">
        <v>54</v>
      </c>
      <c r="H315" s="13">
        <v>52222</v>
      </c>
      <c r="I315" s="13">
        <v>27115</v>
      </c>
      <c r="J315" t="s">
        <v>25</v>
      </c>
      <c r="K315" s="13">
        <f>HR_Data[[#This Row],[Salary]]+HR_Data[[#This Row],[Bonus]]</f>
        <v>79337</v>
      </c>
    </row>
    <row r="316" spans="1:11" x14ac:dyDescent="0.25">
      <c r="A316">
        <v>1315</v>
      </c>
      <c r="B316" t="s">
        <v>356</v>
      </c>
      <c r="C316" t="s">
        <v>12</v>
      </c>
      <c r="D316" t="s">
        <v>14</v>
      </c>
      <c r="E316" t="s">
        <v>18</v>
      </c>
      <c r="F316" t="s">
        <v>22</v>
      </c>
      <c r="G316">
        <v>28</v>
      </c>
      <c r="H316" s="13">
        <v>38320</v>
      </c>
      <c r="I316" s="13">
        <v>24762</v>
      </c>
      <c r="J316" t="s">
        <v>25</v>
      </c>
      <c r="K316" s="13">
        <f>HR_Data[[#This Row],[Salary]]+HR_Data[[#This Row],[Bonus]]</f>
        <v>63082</v>
      </c>
    </row>
    <row r="317" spans="1:11" x14ac:dyDescent="0.25">
      <c r="A317">
        <v>1316</v>
      </c>
      <c r="B317" t="s">
        <v>357</v>
      </c>
      <c r="C317" t="s">
        <v>8</v>
      </c>
      <c r="D317" t="s">
        <v>15</v>
      </c>
      <c r="E317" t="s">
        <v>20</v>
      </c>
      <c r="F317" t="s">
        <v>21</v>
      </c>
      <c r="G317">
        <v>29</v>
      </c>
      <c r="H317" s="13">
        <v>114154</v>
      </c>
      <c r="I317" s="13">
        <v>18665</v>
      </c>
      <c r="J317" t="s">
        <v>25</v>
      </c>
      <c r="K317" s="13">
        <f>HR_Data[[#This Row],[Salary]]+HR_Data[[#This Row],[Bonus]]</f>
        <v>132819</v>
      </c>
    </row>
    <row r="318" spans="1:11" x14ac:dyDescent="0.25">
      <c r="A318">
        <v>1317</v>
      </c>
      <c r="B318" t="s">
        <v>358</v>
      </c>
      <c r="C318" t="s">
        <v>12</v>
      </c>
      <c r="D318" t="s">
        <v>15</v>
      </c>
      <c r="E318" t="s">
        <v>20</v>
      </c>
      <c r="F318" t="s">
        <v>23</v>
      </c>
      <c r="G318">
        <v>58</v>
      </c>
      <c r="H318" s="13">
        <v>72243</v>
      </c>
      <c r="I318" s="13">
        <v>29968</v>
      </c>
      <c r="J318" t="s">
        <v>25</v>
      </c>
      <c r="K318" s="13">
        <f>HR_Data[[#This Row],[Salary]]+HR_Data[[#This Row],[Bonus]]</f>
        <v>102211</v>
      </c>
    </row>
    <row r="319" spans="1:11" x14ac:dyDescent="0.25">
      <c r="A319">
        <v>1318</v>
      </c>
      <c r="B319" t="s">
        <v>359</v>
      </c>
      <c r="C319" t="s">
        <v>11</v>
      </c>
      <c r="D319" t="s">
        <v>15</v>
      </c>
      <c r="E319" t="s">
        <v>17</v>
      </c>
      <c r="F319" t="s">
        <v>24</v>
      </c>
      <c r="G319">
        <v>31</v>
      </c>
      <c r="H319" s="13">
        <v>65615</v>
      </c>
      <c r="I319" s="13">
        <v>27731</v>
      </c>
      <c r="J319" t="s">
        <v>26</v>
      </c>
      <c r="K319" s="13">
        <f>HR_Data[[#This Row],[Salary]]+HR_Data[[#This Row],[Bonus]]</f>
        <v>93346</v>
      </c>
    </row>
    <row r="320" spans="1:11" x14ac:dyDescent="0.25">
      <c r="A320">
        <v>1319</v>
      </c>
      <c r="B320" t="s">
        <v>360</v>
      </c>
      <c r="C320" t="s">
        <v>2042</v>
      </c>
      <c r="D320" t="s">
        <v>14</v>
      </c>
      <c r="E320" t="s">
        <v>17</v>
      </c>
      <c r="F320" t="s">
        <v>23</v>
      </c>
      <c r="G320">
        <v>36</v>
      </c>
      <c r="H320" s="13">
        <v>37352</v>
      </c>
      <c r="I320" s="13">
        <v>27785</v>
      </c>
      <c r="J320" t="s">
        <v>25</v>
      </c>
      <c r="K320" s="13">
        <f>HR_Data[[#This Row],[Salary]]+HR_Data[[#This Row],[Bonus]]</f>
        <v>65137</v>
      </c>
    </row>
    <row r="321" spans="1:11" x14ac:dyDescent="0.25">
      <c r="A321">
        <v>1320</v>
      </c>
      <c r="B321" t="s">
        <v>361</v>
      </c>
      <c r="C321" t="s">
        <v>8</v>
      </c>
      <c r="D321" t="s">
        <v>14</v>
      </c>
      <c r="E321" t="s">
        <v>16</v>
      </c>
      <c r="F321" t="s">
        <v>24</v>
      </c>
      <c r="G321">
        <v>59</v>
      </c>
      <c r="H321" s="13">
        <v>92833</v>
      </c>
      <c r="I321" s="13">
        <v>11629</v>
      </c>
      <c r="J321" t="s">
        <v>27</v>
      </c>
      <c r="K321" s="13">
        <f>HR_Data[[#This Row],[Salary]]+HR_Data[[#This Row],[Bonus]]</f>
        <v>104462</v>
      </c>
    </row>
    <row r="322" spans="1:11" x14ac:dyDescent="0.25">
      <c r="A322">
        <v>1321</v>
      </c>
      <c r="B322" t="s">
        <v>362</v>
      </c>
      <c r="C322" t="s">
        <v>9</v>
      </c>
      <c r="D322" t="s">
        <v>14</v>
      </c>
      <c r="E322" t="s">
        <v>16</v>
      </c>
      <c r="F322" t="s">
        <v>21</v>
      </c>
      <c r="G322">
        <v>36</v>
      </c>
      <c r="H322" s="13">
        <v>113476</v>
      </c>
      <c r="I322" s="13">
        <v>18828</v>
      </c>
      <c r="J322" t="s">
        <v>25</v>
      </c>
      <c r="K322" s="13">
        <f>HR_Data[[#This Row],[Salary]]+HR_Data[[#This Row],[Bonus]]</f>
        <v>132304</v>
      </c>
    </row>
    <row r="323" spans="1:11" x14ac:dyDescent="0.25">
      <c r="A323">
        <v>1322</v>
      </c>
      <c r="B323" t="s">
        <v>363</v>
      </c>
      <c r="C323" t="s">
        <v>12</v>
      </c>
      <c r="D323" t="s">
        <v>14</v>
      </c>
      <c r="E323" t="s">
        <v>16</v>
      </c>
      <c r="F323" t="s">
        <v>24</v>
      </c>
      <c r="G323">
        <v>26</v>
      </c>
      <c r="H323" s="13">
        <v>23203</v>
      </c>
      <c r="I323" s="13">
        <v>9541</v>
      </c>
      <c r="J323" t="s">
        <v>25</v>
      </c>
      <c r="K323" s="13">
        <f>HR_Data[[#This Row],[Salary]]+HR_Data[[#This Row],[Bonus]]</f>
        <v>32744</v>
      </c>
    </row>
    <row r="324" spans="1:11" x14ac:dyDescent="0.25">
      <c r="A324">
        <v>1323</v>
      </c>
      <c r="B324" t="s">
        <v>364</v>
      </c>
      <c r="C324" t="s">
        <v>12</v>
      </c>
      <c r="D324" t="s">
        <v>14</v>
      </c>
      <c r="E324" t="s">
        <v>17</v>
      </c>
      <c r="F324" t="s">
        <v>23</v>
      </c>
      <c r="G324">
        <v>50</v>
      </c>
      <c r="H324" s="13">
        <v>59267</v>
      </c>
      <c r="I324" s="13">
        <v>12876</v>
      </c>
      <c r="J324" t="s">
        <v>26</v>
      </c>
      <c r="K324" s="13">
        <f>HR_Data[[#This Row],[Salary]]+HR_Data[[#This Row],[Bonus]]</f>
        <v>72143</v>
      </c>
    </row>
    <row r="325" spans="1:11" x14ac:dyDescent="0.25">
      <c r="A325">
        <v>1324</v>
      </c>
      <c r="B325" t="s">
        <v>365</v>
      </c>
      <c r="C325" t="s">
        <v>8</v>
      </c>
      <c r="D325" t="s">
        <v>15</v>
      </c>
      <c r="E325" t="s">
        <v>17</v>
      </c>
      <c r="F325" t="s">
        <v>23</v>
      </c>
      <c r="G325">
        <v>40</v>
      </c>
      <c r="H325" s="13">
        <v>57941</v>
      </c>
      <c r="I325" s="13">
        <v>18311</v>
      </c>
      <c r="J325" t="s">
        <v>25</v>
      </c>
      <c r="K325" s="13">
        <f>HR_Data[[#This Row],[Salary]]+HR_Data[[#This Row],[Bonus]]</f>
        <v>76252</v>
      </c>
    </row>
    <row r="326" spans="1:11" x14ac:dyDescent="0.25">
      <c r="A326">
        <v>1325</v>
      </c>
      <c r="B326" t="s">
        <v>366</v>
      </c>
      <c r="C326" t="s">
        <v>9</v>
      </c>
      <c r="D326" t="s">
        <v>15</v>
      </c>
      <c r="E326" t="s">
        <v>17</v>
      </c>
      <c r="F326" t="s">
        <v>21</v>
      </c>
      <c r="G326">
        <v>31</v>
      </c>
      <c r="H326" s="13">
        <v>102809</v>
      </c>
      <c r="I326" s="13">
        <v>29917</v>
      </c>
      <c r="J326" t="s">
        <v>26</v>
      </c>
      <c r="K326" s="13">
        <f>HR_Data[[#This Row],[Salary]]+HR_Data[[#This Row],[Bonus]]</f>
        <v>132726</v>
      </c>
    </row>
    <row r="327" spans="1:11" x14ac:dyDescent="0.25">
      <c r="A327">
        <v>1326</v>
      </c>
      <c r="B327" t="s">
        <v>367</v>
      </c>
      <c r="C327" t="s">
        <v>9</v>
      </c>
      <c r="D327" t="s">
        <v>14</v>
      </c>
      <c r="E327" t="s">
        <v>20</v>
      </c>
      <c r="F327" t="s">
        <v>23</v>
      </c>
      <c r="G327">
        <v>33</v>
      </c>
      <c r="H327" s="13">
        <v>45368</v>
      </c>
      <c r="I327" s="13">
        <v>29708</v>
      </c>
      <c r="J327" t="s">
        <v>25</v>
      </c>
      <c r="K327" s="13">
        <f>HR_Data[[#This Row],[Salary]]+HR_Data[[#This Row],[Bonus]]</f>
        <v>75076</v>
      </c>
    </row>
    <row r="328" spans="1:11" x14ac:dyDescent="0.25">
      <c r="A328">
        <v>1327</v>
      </c>
      <c r="B328" t="s">
        <v>368</v>
      </c>
      <c r="C328" t="s">
        <v>11</v>
      </c>
      <c r="D328" t="s">
        <v>27</v>
      </c>
      <c r="E328" t="s">
        <v>17</v>
      </c>
      <c r="F328" t="s">
        <v>24</v>
      </c>
      <c r="G328">
        <v>25</v>
      </c>
      <c r="H328" s="13">
        <v>97186</v>
      </c>
      <c r="I328" s="13">
        <v>19588</v>
      </c>
      <c r="J328" t="s">
        <v>25</v>
      </c>
      <c r="K328" s="13">
        <f>HR_Data[[#This Row],[Salary]]+HR_Data[[#This Row],[Bonus]]</f>
        <v>116774</v>
      </c>
    </row>
    <row r="329" spans="1:11" x14ac:dyDescent="0.25">
      <c r="A329">
        <v>1328</v>
      </c>
      <c r="B329" t="s">
        <v>369</v>
      </c>
      <c r="C329" t="s">
        <v>11</v>
      </c>
      <c r="D329" t="s">
        <v>14</v>
      </c>
      <c r="E329" t="s">
        <v>20</v>
      </c>
      <c r="F329" t="s">
        <v>21</v>
      </c>
      <c r="G329">
        <v>52</v>
      </c>
      <c r="H329" s="13">
        <v>50984</v>
      </c>
      <c r="I329" s="13">
        <v>21648</v>
      </c>
      <c r="J329" t="s">
        <v>25</v>
      </c>
      <c r="K329" s="13">
        <f>HR_Data[[#This Row],[Salary]]+HR_Data[[#This Row],[Bonus]]</f>
        <v>72632</v>
      </c>
    </row>
    <row r="330" spans="1:11" x14ac:dyDescent="0.25">
      <c r="A330">
        <v>1329</v>
      </c>
      <c r="B330" t="s">
        <v>370</v>
      </c>
      <c r="C330" t="s">
        <v>11</v>
      </c>
      <c r="D330" t="s">
        <v>14</v>
      </c>
      <c r="E330" t="s">
        <v>16</v>
      </c>
      <c r="F330" t="s">
        <v>24</v>
      </c>
      <c r="G330">
        <v>39</v>
      </c>
      <c r="H330" s="13">
        <v>61941</v>
      </c>
      <c r="I330" s="13">
        <v>17380</v>
      </c>
      <c r="J330" t="s">
        <v>26</v>
      </c>
      <c r="K330" s="13">
        <f>HR_Data[[#This Row],[Salary]]+HR_Data[[#This Row],[Bonus]]</f>
        <v>79321</v>
      </c>
    </row>
    <row r="331" spans="1:11" x14ac:dyDescent="0.25">
      <c r="A331">
        <v>1330</v>
      </c>
      <c r="B331" t="s">
        <v>371</v>
      </c>
      <c r="C331" t="s">
        <v>11</v>
      </c>
      <c r="D331" t="s">
        <v>15</v>
      </c>
      <c r="E331" t="s">
        <v>16</v>
      </c>
      <c r="F331" t="s">
        <v>23</v>
      </c>
      <c r="G331">
        <v>37</v>
      </c>
      <c r="H331" s="13">
        <v>92918</v>
      </c>
      <c r="I331" s="13">
        <v>14877</v>
      </c>
      <c r="J331" t="s">
        <v>26</v>
      </c>
      <c r="K331" s="13">
        <f>HR_Data[[#This Row],[Salary]]+HR_Data[[#This Row],[Bonus]]</f>
        <v>107795</v>
      </c>
    </row>
    <row r="332" spans="1:11" x14ac:dyDescent="0.25">
      <c r="A332">
        <v>1331</v>
      </c>
      <c r="B332" t="s">
        <v>372</v>
      </c>
      <c r="C332" t="s">
        <v>11</v>
      </c>
      <c r="D332" t="s">
        <v>14</v>
      </c>
      <c r="E332" t="s">
        <v>16</v>
      </c>
      <c r="F332" t="s">
        <v>21</v>
      </c>
      <c r="G332">
        <v>57</v>
      </c>
      <c r="H332" s="13">
        <v>72683</v>
      </c>
      <c r="I332" s="13">
        <v>22818</v>
      </c>
      <c r="J332" t="s">
        <v>25</v>
      </c>
      <c r="K332" s="13">
        <f>HR_Data[[#This Row],[Salary]]+HR_Data[[#This Row],[Bonus]]</f>
        <v>95501</v>
      </c>
    </row>
    <row r="333" spans="1:11" x14ac:dyDescent="0.25">
      <c r="A333">
        <v>1332</v>
      </c>
      <c r="B333" t="s">
        <v>373</v>
      </c>
      <c r="C333" t="s">
        <v>11</v>
      </c>
      <c r="D333" t="s">
        <v>14</v>
      </c>
      <c r="E333" t="s">
        <v>18</v>
      </c>
      <c r="F333" t="s">
        <v>24</v>
      </c>
      <c r="G333">
        <v>46</v>
      </c>
      <c r="H333" s="13">
        <v>20801</v>
      </c>
      <c r="I333" s="13">
        <v>26711</v>
      </c>
      <c r="J333" t="s">
        <v>26</v>
      </c>
      <c r="K333" s="13">
        <f>HR_Data[[#This Row],[Salary]]+HR_Data[[#This Row],[Bonus]]</f>
        <v>47512</v>
      </c>
    </row>
    <row r="334" spans="1:11" x14ac:dyDescent="0.25">
      <c r="A334">
        <v>1333</v>
      </c>
      <c r="B334" t="s">
        <v>374</v>
      </c>
      <c r="C334" t="s">
        <v>2042</v>
      </c>
      <c r="D334" t="s">
        <v>14</v>
      </c>
      <c r="E334" t="s">
        <v>18</v>
      </c>
      <c r="F334" t="s">
        <v>23</v>
      </c>
      <c r="G334">
        <v>44</v>
      </c>
      <c r="H334" s="13">
        <v>67965</v>
      </c>
      <c r="I334" s="13">
        <v>10097</v>
      </c>
      <c r="J334" t="s">
        <v>25</v>
      </c>
      <c r="K334" s="13">
        <f>HR_Data[[#This Row],[Salary]]+HR_Data[[#This Row],[Bonus]]</f>
        <v>78062</v>
      </c>
    </row>
    <row r="335" spans="1:11" x14ac:dyDescent="0.25">
      <c r="A335">
        <v>1334</v>
      </c>
      <c r="B335" t="s">
        <v>375</v>
      </c>
      <c r="C335" t="s">
        <v>9</v>
      </c>
      <c r="D335" t="s">
        <v>14</v>
      </c>
      <c r="E335" t="s">
        <v>19</v>
      </c>
      <c r="F335" t="s">
        <v>23</v>
      </c>
      <c r="G335">
        <v>33</v>
      </c>
      <c r="H335" s="13">
        <v>105269</v>
      </c>
      <c r="I335" s="13">
        <v>23044</v>
      </c>
      <c r="J335" t="s">
        <v>25</v>
      </c>
      <c r="K335" s="13">
        <f>HR_Data[[#This Row],[Salary]]+HR_Data[[#This Row],[Bonus]]</f>
        <v>128313</v>
      </c>
    </row>
    <row r="336" spans="1:11" x14ac:dyDescent="0.25">
      <c r="A336">
        <v>1335</v>
      </c>
      <c r="B336" t="s">
        <v>376</v>
      </c>
      <c r="C336" t="s">
        <v>12</v>
      </c>
      <c r="D336" t="s">
        <v>15</v>
      </c>
      <c r="E336" t="s">
        <v>19</v>
      </c>
      <c r="F336" t="s">
        <v>22</v>
      </c>
      <c r="G336">
        <v>55</v>
      </c>
      <c r="H336" s="13">
        <v>29969</v>
      </c>
      <c r="I336" s="13">
        <v>27076</v>
      </c>
      <c r="J336" t="s">
        <v>25</v>
      </c>
      <c r="K336" s="13">
        <f>HR_Data[[#This Row],[Salary]]+HR_Data[[#This Row],[Bonus]]</f>
        <v>57045</v>
      </c>
    </row>
    <row r="337" spans="1:11" x14ac:dyDescent="0.25">
      <c r="A337">
        <v>1336</v>
      </c>
      <c r="B337" t="s">
        <v>377</v>
      </c>
      <c r="C337" t="s">
        <v>9</v>
      </c>
      <c r="D337" t="s">
        <v>14</v>
      </c>
      <c r="E337" t="s">
        <v>19</v>
      </c>
      <c r="F337" t="s">
        <v>23</v>
      </c>
      <c r="G337">
        <v>57</v>
      </c>
      <c r="H337" s="13">
        <v>55969</v>
      </c>
      <c r="I337" s="13">
        <v>23738</v>
      </c>
      <c r="J337" t="s">
        <v>25</v>
      </c>
      <c r="K337" s="13">
        <f>HR_Data[[#This Row],[Salary]]+HR_Data[[#This Row],[Bonus]]</f>
        <v>79707</v>
      </c>
    </row>
    <row r="338" spans="1:11" x14ac:dyDescent="0.25">
      <c r="A338">
        <v>1337</v>
      </c>
      <c r="B338" t="s">
        <v>378</v>
      </c>
      <c r="C338" t="s">
        <v>9</v>
      </c>
      <c r="D338" t="s">
        <v>14</v>
      </c>
      <c r="E338" t="s">
        <v>18</v>
      </c>
      <c r="F338" t="s">
        <v>24</v>
      </c>
      <c r="G338">
        <v>58</v>
      </c>
      <c r="H338" s="13">
        <v>102269</v>
      </c>
      <c r="I338" s="13">
        <v>29841</v>
      </c>
      <c r="J338" t="s">
        <v>25</v>
      </c>
      <c r="K338" s="13">
        <f>HR_Data[[#This Row],[Salary]]+HR_Data[[#This Row],[Bonus]]</f>
        <v>132110</v>
      </c>
    </row>
    <row r="339" spans="1:11" x14ac:dyDescent="0.25">
      <c r="A339">
        <v>1338</v>
      </c>
      <c r="B339" t="s">
        <v>379</v>
      </c>
      <c r="C339" t="s">
        <v>10</v>
      </c>
      <c r="D339" t="s">
        <v>15</v>
      </c>
      <c r="E339" t="s">
        <v>18</v>
      </c>
      <c r="F339" t="s">
        <v>21</v>
      </c>
      <c r="G339">
        <v>24</v>
      </c>
      <c r="H339" s="13">
        <v>52449</v>
      </c>
      <c r="I339" s="13">
        <v>11461</v>
      </c>
      <c r="J339" t="s">
        <v>25</v>
      </c>
      <c r="K339" s="13">
        <f>HR_Data[[#This Row],[Salary]]+HR_Data[[#This Row],[Bonus]]</f>
        <v>63910</v>
      </c>
    </row>
    <row r="340" spans="1:11" x14ac:dyDescent="0.25">
      <c r="A340">
        <v>1339</v>
      </c>
      <c r="B340" t="s">
        <v>380</v>
      </c>
      <c r="C340" t="s">
        <v>2042</v>
      </c>
      <c r="D340" t="s">
        <v>15</v>
      </c>
      <c r="E340" t="s">
        <v>19</v>
      </c>
      <c r="F340" t="s">
        <v>22</v>
      </c>
      <c r="G340">
        <v>30</v>
      </c>
      <c r="H340" s="13">
        <v>111679</v>
      </c>
      <c r="I340" s="13">
        <v>12044</v>
      </c>
      <c r="J340" t="s">
        <v>25</v>
      </c>
      <c r="K340" s="13">
        <f>HR_Data[[#This Row],[Salary]]+HR_Data[[#This Row],[Bonus]]</f>
        <v>123723</v>
      </c>
    </row>
    <row r="341" spans="1:11" x14ac:dyDescent="0.25">
      <c r="A341">
        <v>1340</v>
      </c>
      <c r="B341" t="s">
        <v>381</v>
      </c>
      <c r="C341" t="s">
        <v>11</v>
      </c>
      <c r="D341" t="s">
        <v>15</v>
      </c>
      <c r="E341" t="s">
        <v>19</v>
      </c>
      <c r="F341" t="s">
        <v>23</v>
      </c>
      <c r="G341">
        <v>39</v>
      </c>
      <c r="H341" s="13">
        <v>45705</v>
      </c>
      <c r="I341" s="13">
        <v>10497</v>
      </c>
      <c r="J341" t="s">
        <v>25</v>
      </c>
      <c r="K341" s="13">
        <f>HR_Data[[#This Row],[Salary]]+HR_Data[[#This Row],[Bonus]]</f>
        <v>56202</v>
      </c>
    </row>
    <row r="342" spans="1:11" x14ac:dyDescent="0.25">
      <c r="A342">
        <v>1341</v>
      </c>
      <c r="B342" t="s">
        <v>382</v>
      </c>
      <c r="C342" t="s">
        <v>12</v>
      </c>
      <c r="D342" t="s">
        <v>14</v>
      </c>
      <c r="E342" t="s">
        <v>17</v>
      </c>
      <c r="F342" t="s">
        <v>23</v>
      </c>
      <c r="G342">
        <v>56</v>
      </c>
      <c r="H342" s="13">
        <v>80303</v>
      </c>
      <c r="I342" s="13">
        <v>25933</v>
      </c>
      <c r="J342" t="s">
        <v>26</v>
      </c>
      <c r="K342" s="13">
        <f>HR_Data[[#This Row],[Salary]]+HR_Data[[#This Row],[Bonus]]</f>
        <v>106236</v>
      </c>
    </row>
    <row r="343" spans="1:11" x14ac:dyDescent="0.25">
      <c r="A343">
        <v>1342</v>
      </c>
      <c r="B343" t="s">
        <v>383</v>
      </c>
      <c r="C343" t="s">
        <v>8</v>
      </c>
      <c r="D343" t="s">
        <v>14</v>
      </c>
      <c r="E343" t="s">
        <v>19</v>
      </c>
      <c r="F343" t="s">
        <v>23</v>
      </c>
      <c r="G343">
        <v>55</v>
      </c>
      <c r="H343" s="13">
        <v>48363</v>
      </c>
      <c r="I343" s="13">
        <v>27718</v>
      </c>
      <c r="J343" t="s">
        <v>25</v>
      </c>
      <c r="K343" s="13">
        <f>HR_Data[[#This Row],[Salary]]+HR_Data[[#This Row],[Bonus]]</f>
        <v>76081</v>
      </c>
    </row>
    <row r="344" spans="1:11" x14ac:dyDescent="0.25">
      <c r="A344">
        <v>1343</v>
      </c>
      <c r="B344" t="s">
        <v>384</v>
      </c>
      <c r="C344" t="s">
        <v>12</v>
      </c>
      <c r="D344" t="s">
        <v>15</v>
      </c>
      <c r="E344" t="s">
        <v>17</v>
      </c>
      <c r="F344" t="s">
        <v>24</v>
      </c>
      <c r="G344">
        <v>35</v>
      </c>
      <c r="H344" s="13">
        <v>50720</v>
      </c>
      <c r="I344" s="13">
        <v>27394</v>
      </c>
      <c r="J344" t="s">
        <v>26</v>
      </c>
      <c r="K344" s="13">
        <f>HR_Data[[#This Row],[Salary]]+HR_Data[[#This Row],[Bonus]]</f>
        <v>78114</v>
      </c>
    </row>
    <row r="345" spans="1:11" x14ac:dyDescent="0.25">
      <c r="A345">
        <v>1344</v>
      </c>
      <c r="B345" t="s">
        <v>385</v>
      </c>
      <c r="C345" t="s">
        <v>2042</v>
      </c>
      <c r="D345" t="s">
        <v>15</v>
      </c>
      <c r="E345" t="s">
        <v>20</v>
      </c>
      <c r="F345" t="s">
        <v>22</v>
      </c>
      <c r="G345">
        <v>25</v>
      </c>
      <c r="H345" s="13">
        <v>29972</v>
      </c>
      <c r="I345" s="13">
        <v>18751</v>
      </c>
      <c r="J345" t="s">
        <v>26</v>
      </c>
      <c r="K345" s="13">
        <f>HR_Data[[#This Row],[Salary]]+HR_Data[[#This Row],[Bonus]]</f>
        <v>48723</v>
      </c>
    </row>
    <row r="346" spans="1:11" x14ac:dyDescent="0.25">
      <c r="A346">
        <v>1345</v>
      </c>
      <c r="B346" t="s">
        <v>386</v>
      </c>
      <c r="C346" t="s">
        <v>8</v>
      </c>
      <c r="D346" t="s">
        <v>15</v>
      </c>
      <c r="E346" t="s">
        <v>18</v>
      </c>
      <c r="F346" t="s">
        <v>24</v>
      </c>
      <c r="G346">
        <v>50</v>
      </c>
      <c r="H346" s="13">
        <v>53351</v>
      </c>
      <c r="I346" s="13">
        <v>26310</v>
      </c>
      <c r="J346" t="s">
        <v>26</v>
      </c>
      <c r="K346" s="13">
        <f>HR_Data[[#This Row],[Salary]]+HR_Data[[#This Row],[Bonus]]</f>
        <v>79661</v>
      </c>
    </row>
    <row r="347" spans="1:11" x14ac:dyDescent="0.25">
      <c r="A347">
        <v>1346</v>
      </c>
      <c r="B347" t="s">
        <v>387</v>
      </c>
      <c r="C347" t="s">
        <v>2042</v>
      </c>
      <c r="D347" t="s">
        <v>15</v>
      </c>
      <c r="E347" t="s">
        <v>19</v>
      </c>
      <c r="F347" t="s">
        <v>22</v>
      </c>
      <c r="G347">
        <v>36</v>
      </c>
      <c r="H347" s="13">
        <v>56145</v>
      </c>
      <c r="I347" s="13">
        <v>14304</v>
      </c>
      <c r="J347" t="s">
        <v>25</v>
      </c>
      <c r="K347" s="13">
        <f>HR_Data[[#This Row],[Salary]]+HR_Data[[#This Row],[Bonus]]</f>
        <v>70449</v>
      </c>
    </row>
    <row r="348" spans="1:11" x14ac:dyDescent="0.25">
      <c r="A348">
        <v>1347</v>
      </c>
      <c r="B348" t="s">
        <v>388</v>
      </c>
      <c r="C348" t="s">
        <v>9</v>
      </c>
      <c r="D348" t="s">
        <v>15</v>
      </c>
      <c r="E348" t="s">
        <v>18</v>
      </c>
      <c r="F348" t="s">
        <v>21</v>
      </c>
      <c r="G348">
        <v>49</v>
      </c>
      <c r="H348" s="13">
        <v>107948</v>
      </c>
      <c r="I348" s="13">
        <v>15426</v>
      </c>
      <c r="J348" t="s">
        <v>25</v>
      </c>
      <c r="K348" s="13">
        <f>HR_Data[[#This Row],[Salary]]+HR_Data[[#This Row],[Bonus]]</f>
        <v>123374</v>
      </c>
    </row>
    <row r="349" spans="1:11" x14ac:dyDescent="0.25">
      <c r="A349">
        <v>1348</v>
      </c>
      <c r="B349" t="s">
        <v>389</v>
      </c>
      <c r="C349" t="s">
        <v>8</v>
      </c>
      <c r="D349" t="s">
        <v>15</v>
      </c>
      <c r="E349" t="s">
        <v>18</v>
      </c>
      <c r="F349" t="s">
        <v>24</v>
      </c>
      <c r="G349">
        <v>37</v>
      </c>
      <c r="H349" s="13">
        <v>109614</v>
      </c>
      <c r="I349" s="13">
        <v>16058</v>
      </c>
      <c r="J349" t="s">
        <v>25</v>
      </c>
      <c r="K349" s="13">
        <f>HR_Data[[#This Row],[Salary]]+HR_Data[[#This Row],[Bonus]]</f>
        <v>125672</v>
      </c>
    </row>
    <row r="350" spans="1:11" x14ac:dyDescent="0.25">
      <c r="A350">
        <v>1349</v>
      </c>
      <c r="B350" t="s">
        <v>390</v>
      </c>
      <c r="C350" t="s">
        <v>9</v>
      </c>
      <c r="D350" t="s">
        <v>14</v>
      </c>
      <c r="E350" t="s">
        <v>18</v>
      </c>
      <c r="F350" t="s">
        <v>24</v>
      </c>
      <c r="G350">
        <v>33</v>
      </c>
      <c r="H350" s="13">
        <v>108116</v>
      </c>
      <c r="I350" s="13">
        <v>27449</v>
      </c>
      <c r="J350" t="s">
        <v>25</v>
      </c>
      <c r="K350" s="13">
        <f>HR_Data[[#This Row],[Salary]]+HR_Data[[#This Row],[Bonus]]</f>
        <v>135565</v>
      </c>
    </row>
    <row r="351" spans="1:11" x14ac:dyDescent="0.25">
      <c r="A351">
        <v>1350</v>
      </c>
      <c r="B351" t="s">
        <v>391</v>
      </c>
      <c r="C351" t="s">
        <v>12</v>
      </c>
      <c r="D351" t="s">
        <v>14</v>
      </c>
      <c r="E351" t="s">
        <v>20</v>
      </c>
      <c r="F351" t="s">
        <v>21</v>
      </c>
      <c r="G351">
        <v>26</v>
      </c>
      <c r="H351" s="13">
        <v>76235</v>
      </c>
      <c r="I351" s="13">
        <v>16260</v>
      </c>
      <c r="J351" t="s">
        <v>25</v>
      </c>
      <c r="K351" s="13">
        <f>HR_Data[[#This Row],[Salary]]+HR_Data[[#This Row],[Bonus]]</f>
        <v>92495</v>
      </c>
    </row>
    <row r="352" spans="1:11" x14ac:dyDescent="0.25">
      <c r="A352">
        <v>1351</v>
      </c>
      <c r="B352" t="s">
        <v>392</v>
      </c>
      <c r="C352" t="s">
        <v>12</v>
      </c>
      <c r="D352" t="s">
        <v>14</v>
      </c>
      <c r="E352" t="s">
        <v>16</v>
      </c>
      <c r="F352" t="s">
        <v>22</v>
      </c>
      <c r="G352">
        <v>55</v>
      </c>
      <c r="H352" s="13">
        <v>34855</v>
      </c>
      <c r="I352" s="13">
        <v>23563</v>
      </c>
      <c r="J352" t="s">
        <v>25</v>
      </c>
      <c r="K352" s="13">
        <f>HR_Data[[#This Row],[Salary]]+HR_Data[[#This Row],[Bonus]]</f>
        <v>58418</v>
      </c>
    </row>
    <row r="353" spans="1:11" x14ac:dyDescent="0.25">
      <c r="A353">
        <v>1352</v>
      </c>
      <c r="B353" t="s">
        <v>393</v>
      </c>
      <c r="C353" t="s">
        <v>8</v>
      </c>
      <c r="D353" t="s">
        <v>15</v>
      </c>
      <c r="E353" t="s">
        <v>19</v>
      </c>
      <c r="F353" t="s">
        <v>23</v>
      </c>
      <c r="G353">
        <v>22</v>
      </c>
      <c r="H353" s="13">
        <v>56169</v>
      </c>
      <c r="I353" s="13">
        <v>26351</v>
      </c>
      <c r="J353" t="s">
        <v>25</v>
      </c>
      <c r="K353" s="13">
        <f>HR_Data[[#This Row],[Salary]]+HR_Data[[#This Row],[Bonus]]</f>
        <v>82520</v>
      </c>
    </row>
    <row r="354" spans="1:11" x14ac:dyDescent="0.25">
      <c r="A354">
        <v>1353</v>
      </c>
      <c r="B354" t="s">
        <v>394</v>
      </c>
      <c r="C354" t="s">
        <v>8</v>
      </c>
      <c r="D354" t="s">
        <v>15</v>
      </c>
      <c r="E354" t="s">
        <v>16</v>
      </c>
      <c r="F354" t="s">
        <v>21</v>
      </c>
      <c r="G354">
        <v>53</v>
      </c>
      <c r="H354" s="13">
        <v>66404</v>
      </c>
      <c r="I354" s="13">
        <v>5634</v>
      </c>
      <c r="J354" t="s">
        <v>26</v>
      </c>
      <c r="K354" s="13">
        <f>HR_Data[[#This Row],[Salary]]+HR_Data[[#This Row],[Bonus]]</f>
        <v>72038</v>
      </c>
    </row>
    <row r="355" spans="1:11" x14ac:dyDescent="0.25">
      <c r="A355">
        <v>1354</v>
      </c>
      <c r="B355" t="s">
        <v>395</v>
      </c>
      <c r="C355" t="s">
        <v>11</v>
      </c>
      <c r="D355" t="s">
        <v>15</v>
      </c>
      <c r="E355" t="s">
        <v>16</v>
      </c>
      <c r="F355" t="s">
        <v>23</v>
      </c>
      <c r="G355">
        <v>47</v>
      </c>
      <c r="H355" s="13">
        <v>39569</v>
      </c>
      <c r="I355" s="13">
        <v>25015</v>
      </c>
      <c r="J355" t="s">
        <v>25</v>
      </c>
      <c r="K355" s="13">
        <f>HR_Data[[#This Row],[Salary]]+HR_Data[[#This Row],[Bonus]]</f>
        <v>64584</v>
      </c>
    </row>
    <row r="356" spans="1:11" x14ac:dyDescent="0.25">
      <c r="A356">
        <v>1355</v>
      </c>
      <c r="B356" t="s">
        <v>396</v>
      </c>
      <c r="C356" t="s">
        <v>2042</v>
      </c>
      <c r="D356" t="s">
        <v>15</v>
      </c>
      <c r="E356" t="s">
        <v>16</v>
      </c>
      <c r="F356" t="s">
        <v>23</v>
      </c>
      <c r="G356">
        <v>38</v>
      </c>
      <c r="H356" s="13">
        <v>74437</v>
      </c>
      <c r="I356" s="13">
        <v>15057</v>
      </c>
      <c r="J356" t="s">
        <v>26</v>
      </c>
      <c r="K356" s="13">
        <f>HR_Data[[#This Row],[Salary]]+HR_Data[[#This Row],[Bonus]]</f>
        <v>89494</v>
      </c>
    </row>
    <row r="357" spans="1:11" x14ac:dyDescent="0.25">
      <c r="A357">
        <v>1356</v>
      </c>
      <c r="B357" t="s">
        <v>397</v>
      </c>
      <c r="C357" t="s">
        <v>11</v>
      </c>
      <c r="D357" t="s">
        <v>15</v>
      </c>
      <c r="E357" t="s">
        <v>18</v>
      </c>
      <c r="F357" t="s">
        <v>21</v>
      </c>
      <c r="G357">
        <v>48</v>
      </c>
      <c r="H357" s="13">
        <v>68506</v>
      </c>
      <c r="I357" s="13">
        <v>18345</v>
      </c>
      <c r="J357" t="s">
        <v>25</v>
      </c>
      <c r="K357" s="13">
        <f>HR_Data[[#This Row],[Salary]]+HR_Data[[#This Row],[Bonus]]</f>
        <v>86851</v>
      </c>
    </row>
    <row r="358" spans="1:11" x14ac:dyDescent="0.25">
      <c r="A358">
        <v>1357</v>
      </c>
      <c r="B358" t="s">
        <v>398</v>
      </c>
      <c r="C358" t="s">
        <v>2042</v>
      </c>
      <c r="D358" t="s">
        <v>15</v>
      </c>
      <c r="E358" t="s">
        <v>17</v>
      </c>
      <c r="F358" t="s">
        <v>22</v>
      </c>
      <c r="G358">
        <v>45</v>
      </c>
      <c r="H358" s="13">
        <v>45738</v>
      </c>
      <c r="I358" s="13">
        <v>15147</v>
      </c>
      <c r="J358" t="s">
        <v>25</v>
      </c>
      <c r="K358" s="13">
        <f>HR_Data[[#This Row],[Salary]]+HR_Data[[#This Row],[Bonus]]</f>
        <v>60885</v>
      </c>
    </row>
    <row r="359" spans="1:11" x14ac:dyDescent="0.25">
      <c r="A359">
        <v>1358</v>
      </c>
      <c r="B359" t="s">
        <v>399</v>
      </c>
      <c r="C359" t="s">
        <v>11</v>
      </c>
      <c r="D359" t="s">
        <v>14</v>
      </c>
      <c r="E359" t="s">
        <v>18</v>
      </c>
      <c r="F359" t="s">
        <v>23</v>
      </c>
      <c r="G359">
        <v>56</v>
      </c>
      <c r="H359" s="13">
        <v>26772</v>
      </c>
      <c r="I359" s="13">
        <v>26061</v>
      </c>
      <c r="J359" t="s">
        <v>25</v>
      </c>
      <c r="K359" s="13">
        <f>HR_Data[[#This Row],[Salary]]+HR_Data[[#This Row],[Bonus]]</f>
        <v>52833</v>
      </c>
    </row>
    <row r="360" spans="1:11" x14ac:dyDescent="0.25">
      <c r="A360">
        <v>1359</v>
      </c>
      <c r="B360" t="s">
        <v>400</v>
      </c>
      <c r="C360" t="s">
        <v>9</v>
      </c>
      <c r="D360" t="s">
        <v>14</v>
      </c>
      <c r="E360" t="s">
        <v>18</v>
      </c>
      <c r="F360" t="s">
        <v>21</v>
      </c>
      <c r="G360">
        <v>47</v>
      </c>
      <c r="H360" s="13">
        <v>110410</v>
      </c>
      <c r="I360" s="13">
        <v>23602</v>
      </c>
      <c r="J360" t="s">
        <v>25</v>
      </c>
      <c r="K360" s="13">
        <f>HR_Data[[#This Row],[Salary]]+HR_Data[[#This Row],[Bonus]]</f>
        <v>134012</v>
      </c>
    </row>
    <row r="361" spans="1:11" x14ac:dyDescent="0.25">
      <c r="A361">
        <v>1360</v>
      </c>
      <c r="B361" t="s">
        <v>401</v>
      </c>
      <c r="C361" t="s">
        <v>8</v>
      </c>
      <c r="D361" t="s">
        <v>15</v>
      </c>
      <c r="E361" t="s">
        <v>16</v>
      </c>
      <c r="F361" t="s">
        <v>24</v>
      </c>
      <c r="G361">
        <v>59</v>
      </c>
      <c r="H361" s="13">
        <v>39731</v>
      </c>
      <c r="I361" s="13">
        <v>6389</v>
      </c>
      <c r="J361" t="s">
        <v>25</v>
      </c>
      <c r="K361" s="13">
        <f>HR_Data[[#This Row],[Salary]]+HR_Data[[#This Row],[Bonus]]</f>
        <v>46120</v>
      </c>
    </row>
    <row r="362" spans="1:11" x14ac:dyDescent="0.25">
      <c r="A362">
        <v>1361</v>
      </c>
      <c r="B362" t="s">
        <v>402</v>
      </c>
      <c r="C362" t="s">
        <v>12</v>
      </c>
      <c r="D362" t="s">
        <v>14</v>
      </c>
      <c r="E362" t="s">
        <v>18</v>
      </c>
      <c r="F362" t="s">
        <v>24</v>
      </c>
      <c r="G362">
        <v>44</v>
      </c>
      <c r="H362" s="13">
        <v>30131</v>
      </c>
      <c r="I362" s="13">
        <v>18071</v>
      </c>
      <c r="J362" t="s">
        <v>25</v>
      </c>
      <c r="K362" s="13">
        <f>HR_Data[[#This Row],[Salary]]+HR_Data[[#This Row],[Bonus]]</f>
        <v>48202</v>
      </c>
    </row>
    <row r="363" spans="1:11" x14ac:dyDescent="0.25">
      <c r="A363">
        <v>1362</v>
      </c>
      <c r="B363" t="s">
        <v>403</v>
      </c>
      <c r="C363" t="s">
        <v>2042</v>
      </c>
      <c r="D363" t="s">
        <v>15</v>
      </c>
      <c r="E363" t="s">
        <v>16</v>
      </c>
      <c r="F363" t="s">
        <v>24</v>
      </c>
      <c r="G363">
        <v>43</v>
      </c>
      <c r="H363" s="13">
        <v>86324</v>
      </c>
      <c r="I363" s="13">
        <v>16322</v>
      </c>
      <c r="J363" t="s">
        <v>25</v>
      </c>
      <c r="K363" s="13">
        <f>HR_Data[[#This Row],[Salary]]+HR_Data[[#This Row],[Bonus]]</f>
        <v>102646</v>
      </c>
    </row>
    <row r="364" spans="1:11" x14ac:dyDescent="0.25">
      <c r="A364">
        <v>1363</v>
      </c>
      <c r="B364" t="s">
        <v>404</v>
      </c>
      <c r="C364" t="s">
        <v>2042</v>
      </c>
      <c r="D364" t="s">
        <v>14</v>
      </c>
      <c r="E364" t="s">
        <v>17</v>
      </c>
      <c r="F364" t="s">
        <v>21</v>
      </c>
      <c r="G364">
        <v>25</v>
      </c>
      <c r="H364" s="13">
        <v>74097</v>
      </c>
      <c r="I364" s="13">
        <v>9276</v>
      </c>
      <c r="J364" t="s">
        <v>25</v>
      </c>
      <c r="K364" s="13">
        <f>HR_Data[[#This Row],[Salary]]+HR_Data[[#This Row],[Bonus]]</f>
        <v>83373</v>
      </c>
    </row>
    <row r="365" spans="1:11" x14ac:dyDescent="0.25">
      <c r="A365">
        <v>1364</v>
      </c>
      <c r="B365" t="s">
        <v>405</v>
      </c>
      <c r="C365" t="s">
        <v>12</v>
      </c>
      <c r="D365" t="s">
        <v>15</v>
      </c>
      <c r="E365" t="s">
        <v>19</v>
      </c>
      <c r="F365" t="s">
        <v>24</v>
      </c>
      <c r="G365">
        <v>30</v>
      </c>
      <c r="H365" s="13">
        <v>101720</v>
      </c>
      <c r="I365" s="13">
        <v>17306</v>
      </c>
      <c r="J365" t="s">
        <v>26</v>
      </c>
      <c r="K365" s="13">
        <f>HR_Data[[#This Row],[Salary]]+HR_Data[[#This Row],[Bonus]]</f>
        <v>119026</v>
      </c>
    </row>
    <row r="366" spans="1:11" x14ac:dyDescent="0.25">
      <c r="A366">
        <v>1365</v>
      </c>
      <c r="B366" t="s">
        <v>406</v>
      </c>
      <c r="C366" t="s">
        <v>11</v>
      </c>
      <c r="D366" t="s">
        <v>15</v>
      </c>
      <c r="E366" t="s">
        <v>16</v>
      </c>
      <c r="F366" t="s">
        <v>23</v>
      </c>
      <c r="G366">
        <v>25</v>
      </c>
      <c r="H366" s="13">
        <v>116433</v>
      </c>
      <c r="I366" s="13">
        <v>6249</v>
      </c>
      <c r="J366" t="s">
        <v>25</v>
      </c>
      <c r="K366" s="13">
        <f>HR_Data[[#This Row],[Salary]]+HR_Data[[#This Row],[Bonus]]</f>
        <v>122682</v>
      </c>
    </row>
    <row r="367" spans="1:11" x14ac:dyDescent="0.25">
      <c r="A367">
        <v>1366</v>
      </c>
      <c r="B367" t="s">
        <v>407</v>
      </c>
      <c r="C367" t="s">
        <v>2042</v>
      </c>
      <c r="D367" t="s">
        <v>14</v>
      </c>
      <c r="E367" t="s">
        <v>17</v>
      </c>
      <c r="F367" t="s">
        <v>24</v>
      </c>
      <c r="G367">
        <v>28</v>
      </c>
      <c r="H367" s="13">
        <v>22889</v>
      </c>
      <c r="I367" s="13">
        <v>29024</v>
      </c>
      <c r="J367" t="s">
        <v>25</v>
      </c>
      <c r="K367" s="13">
        <f>HR_Data[[#This Row],[Salary]]+HR_Data[[#This Row],[Bonus]]</f>
        <v>51913</v>
      </c>
    </row>
    <row r="368" spans="1:11" x14ac:dyDescent="0.25">
      <c r="A368">
        <v>1367</v>
      </c>
      <c r="B368" t="s">
        <v>408</v>
      </c>
      <c r="C368" t="s">
        <v>9</v>
      </c>
      <c r="D368" t="s">
        <v>14</v>
      </c>
      <c r="E368" t="s">
        <v>19</v>
      </c>
      <c r="F368" t="s">
        <v>24</v>
      </c>
      <c r="G368">
        <v>44</v>
      </c>
      <c r="H368" s="13">
        <v>29569</v>
      </c>
      <c r="I368" s="13">
        <v>27096</v>
      </c>
      <c r="J368" t="s">
        <v>27</v>
      </c>
      <c r="K368" s="13">
        <f>HR_Data[[#This Row],[Salary]]+HR_Data[[#This Row],[Bonus]]</f>
        <v>56665</v>
      </c>
    </row>
    <row r="369" spans="1:11" x14ac:dyDescent="0.25">
      <c r="A369">
        <v>1368</v>
      </c>
      <c r="B369" t="s">
        <v>409</v>
      </c>
      <c r="C369" t="s">
        <v>8</v>
      </c>
      <c r="D369" t="s">
        <v>15</v>
      </c>
      <c r="E369" t="s">
        <v>20</v>
      </c>
      <c r="F369" t="s">
        <v>23</v>
      </c>
      <c r="G369">
        <v>23</v>
      </c>
      <c r="H369" s="13">
        <v>107193</v>
      </c>
      <c r="I369" s="13">
        <v>22629</v>
      </c>
      <c r="J369" t="s">
        <v>25</v>
      </c>
      <c r="K369" s="13">
        <f>HR_Data[[#This Row],[Salary]]+HR_Data[[#This Row],[Bonus]]</f>
        <v>129822</v>
      </c>
    </row>
    <row r="370" spans="1:11" x14ac:dyDescent="0.25">
      <c r="A370">
        <v>1369</v>
      </c>
      <c r="B370" t="s">
        <v>410</v>
      </c>
      <c r="C370" t="s">
        <v>12</v>
      </c>
      <c r="D370" t="s">
        <v>15</v>
      </c>
      <c r="E370" t="s">
        <v>16</v>
      </c>
      <c r="F370" t="s">
        <v>24</v>
      </c>
      <c r="G370">
        <v>45</v>
      </c>
      <c r="H370" s="13">
        <v>95677</v>
      </c>
      <c r="I370" s="13">
        <v>13245</v>
      </c>
      <c r="J370" t="s">
        <v>25</v>
      </c>
      <c r="K370" s="13">
        <f>HR_Data[[#This Row],[Salary]]+HR_Data[[#This Row],[Bonus]]</f>
        <v>108922</v>
      </c>
    </row>
    <row r="371" spans="1:11" x14ac:dyDescent="0.25">
      <c r="A371">
        <v>1370</v>
      </c>
      <c r="B371" t="s">
        <v>411</v>
      </c>
      <c r="C371" t="s">
        <v>8</v>
      </c>
      <c r="D371" t="s">
        <v>27</v>
      </c>
      <c r="E371" t="s">
        <v>16</v>
      </c>
      <c r="F371" t="s">
        <v>23</v>
      </c>
      <c r="G371">
        <v>52</v>
      </c>
      <c r="H371" s="13">
        <v>105192</v>
      </c>
      <c r="I371" s="13">
        <v>16102</v>
      </c>
      <c r="J371" t="s">
        <v>25</v>
      </c>
      <c r="K371" s="13">
        <f>HR_Data[[#This Row],[Salary]]+HR_Data[[#This Row],[Bonus]]</f>
        <v>121294</v>
      </c>
    </row>
    <row r="372" spans="1:11" x14ac:dyDescent="0.25">
      <c r="A372">
        <v>1371</v>
      </c>
      <c r="B372" t="s">
        <v>412</v>
      </c>
      <c r="C372" t="s">
        <v>2042</v>
      </c>
      <c r="D372" t="s">
        <v>14</v>
      </c>
      <c r="E372" t="s">
        <v>20</v>
      </c>
      <c r="F372" t="s">
        <v>24</v>
      </c>
      <c r="G372">
        <v>52</v>
      </c>
      <c r="H372" s="13">
        <v>107154</v>
      </c>
      <c r="I372" s="13">
        <v>21226</v>
      </c>
      <c r="J372" t="s">
        <v>25</v>
      </c>
      <c r="K372" s="13">
        <f>HR_Data[[#This Row],[Salary]]+HR_Data[[#This Row],[Bonus]]</f>
        <v>128380</v>
      </c>
    </row>
    <row r="373" spans="1:11" x14ac:dyDescent="0.25">
      <c r="A373">
        <v>1372</v>
      </c>
      <c r="B373" t="s">
        <v>413</v>
      </c>
      <c r="C373" t="s">
        <v>2042</v>
      </c>
      <c r="D373" t="s">
        <v>15</v>
      </c>
      <c r="E373" t="s">
        <v>20</v>
      </c>
      <c r="F373" t="s">
        <v>23</v>
      </c>
      <c r="G373">
        <v>55</v>
      </c>
      <c r="H373" s="13">
        <v>97470</v>
      </c>
      <c r="I373" s="13">
        <v>15588</v>
      </c>
      <c r="J373" t="s">
        <v>25</v>
      </c>
      <c r="K373" s="13">
        <f>HR_Data[[#This Row],[Salary]]+HR_Data[[#This Row],[Bonus]]</f>
        <v>113058</v>
      </c>
    </row>
    <row r="374" spans="1:11" x14ac:dyDescent="0.25">
      <c r="A374">
        <v>1373</v>
      </c>
      <c r="B374" t="s">
        <v>414</v>
      </c>
      <c r="C374" t="s">
        <v>12</v>
      </c>
      <c r="D374" t="s">
        <v>14</v>
      </c>
      <c r="E374" t="s">
        <v>16</v>
      </c>
      <c r="F374" t="s">
        <v>24</v>
      </c>
      <c r="G374">
        <v>45</v>
      </c>
      <c r="H374" s="13">
        <v>108822</v>
      </c>
      <c r="I374" s="13">
        <v>5442</v>
      </c>
      <c r="J374" t="s">
        <v>25</v>
      </c>
      <c r="K374" s="13">
        <f>HR_Data[[#This Row],[Salary]]+HR_Data[[#This Row],[Bonus]]</f>
        <v>114264</v>
      </c>
    </row>
    <row r="375" spans="1:11" x14ac:dyDescent="0.25">
      <c r="A375">
        <v>1374</v>
      </c>
      <c r="B375" t="s">
        <v>415</v>
      </c>
      <c r="C375" t="s">
        <v>9</v>
      </c>
      <c r="D375" t="s">
        <v>15</v>
      </c>
      <c r="E375" t="s">
        <v>20</v>
      </c>
      <c r="F375" t="s">
        <v>23</v>
      </c>
      <c r="G375">
        <v>47</v>
      </c>
      <c r="H375" s="13">
        <v>27612</v>
      </c>
      <c r="I375" s="13">
        <v>11976</v>
      </c>
      <c r="J375" t="s">
        <v>25</v>
      </c>
      <c r="K375" s="13">
        <f>HR_Data[[#This Row],[Salary]]+HR_Data[[#This Row],[Bonus]]</f>
        <v>39588</v>
      </c>
    </row>
    <row r="376" spans="1:11" x14ac:dyDescent="0.25">
      <c r="A376">
        <v>1375</v>
      </c>
      <c r="B376" t="s">
        <v>416</v>
      </c>
      <c r="C376" t="s">
        <v>10</v>
      </c>
      <c r="D376" t="s">
        <v>15</v>
      </c>
      <c r="E376" t="s">
        <v>18</v>
      </c>
      <c r="F376" t="s">
        <v>21</v>
      </c>
      <c r="G376">
        <v>37</v>
      </c>
      <c r="H376" s="13">
        <v>71644</v>
      </c>
      <c r="I376" s="13">
        <v>9675</v>
      </c>
      <c r="J376" t="s">
        <v>25</v>
      </c>
      <c r="K376" s="13">
        <f>HR_Data[[#This Row],[Salary]]+HR_Data[[#This Row],[Bonus]]</f>
        <v>81319</v>
      </c>
    </row>
    <row r="377" spans="1:11" x14ac:dyDescent="0.25">
      <c r="A377">
        <v>1376</v>
      </c>
      <c r="B377" t="s">
        <v>417</v>
      </c>
      <c r="C377" t="s">
        <v>12</v>
      </c>
      <c r="D377" t="s">
        <v>15</v>
      </c>
      <c r="E377" t="s">
        <v>19</v>
      </c>
      <c r="F377" t="s">
        <v>23</v>
      </c>
      <c r="G377">
        <v>34</v>
      </c>
      <c r="H377" s="13">
        <v>52069</v>
      </c>
      <c r="I377" s="13">
        <v>16803</v>
      </c>
      <c r="J377" t="s">
        <v>25</v>
      </c>
      <c r="K377" s="13">
        <f>HR_Data[[#This Row],[Salary]]+HR_Data[[#This Row],[Bonus]]</f>
        <v>68872</v>
      </c>
    </row>
    <row r="378" spans="1:11" x14ac:dyDescent="0.25">
      <c r="A378">
        <v>1377</v>
      </c>
      <c r="B378" t="s">
        <v>418</v>
      </c>
      <c r="C378" t="s">
        <v>10</v>
      </c>
      <c r="D378" t="s">
        <v>15</v>
      </c>
      <c r="E378" t="s">
        <v>19</v>
      </c>
      <c r="F378" t="s">
        <v>24</v>
      </c>
      <c r="G378">
        <v>36</v>
      </c>
      <c r="H378" s="13">
        <v>69554.53</v>
      </c>
      <c r="I378" s="13">
        <v>12953</v>
      </c>
      <c r="J378" t="s">
        <v>25</v>
      </c>
      <c r="K378" s="13">
        <f>HR_Data[[#This Row],[Salary]]+HR_Data[[#This Row],[Bonus]]</f>
        <v>82507.53</v>
      </c>
    </row>
    <row r="379" spans="1:11" x14ac:dyDescent="0.25">
      <c r="A379">
        <v>1378</v>
      </c>
      <c r="B379" t="s">
        <v>419</v>
      </c>
      <c r="C379" t="s">
        <v>11</v>
      </c>
      <c r="D379" t="s">
        <v>14</v>
      </c>
      <c r="E379" t="s">
        <v>19</v>
      </c>
      <c r="F379" t="s">
        <v>24</v>
      </c>
      <c r="G379">
        <v>48</v>
      </c>
      <c r="H379" s="13">
        <v>47331</v>
      </c>
      <c r="I379" s="13">
        <v>9377</v>
      </c>
      <c r="J379" t="s">
        <v>25</v>
      </c>
      <c r="K379" s="13">
        <f>HR_Data[[#This Row],[Salary]]+HR_Data[[#This Row],[Bonus]]</f>
        <v>56708</v>
      </c>
    </row>
    <row r="380" spans="1:11" x14ac:dyDescent="0.25">
      <c r="A380">
        <v>1379</v>
      </c>
      <c r="B380" t="s">
        <v>420</v>
      </c>
      <c r="C380" t="s">
        <v>10</v>
      </c>
      <c r="D380" t="s">
        <v>14</v>
      </c>
      <c r="E380" t="s">
        <v>18</v>
      </c>
      <c r="F380" t="s">
        <v>22</v>
      </c>
      <c r="G380">
        <v>25</v>
      </c>
      <c r="H380" s="13">
        <v>75897</v>
      </c>
      <c r="I380" s="13">
        <v>15599</v>
      </c>
      <c r="J380" t="s">
        <v>25</v>
      </c>
      <c r="K380" s="13">
        <f>HR_Data[[#This Row],[Salary]]+HR_Data[[#This Row],[Bonus]]</f>
        <v>91496</v>
      </c>
    </row>
    <row r="381" spans="1:11" x14ac:dyDescent="0.25">
      <c r="A381">
        <v>1380</v>
      </c>
      <c r="B381" t="s">
        <v>421</v>
      </c>
      <c r="C381" t="s">
        <v>9</v>
      </c>
      <c r="D381" t="s">
        <v>14</v>
      </c>
      <c r="E381" t="s">
        <v>20</v>
      </c>
      <c r="F381" t="s">
        <v>23</v>
      </c>
      <c r="G381">
        <v>37</v>
      </c>
      <c r="H381" s="13">
        <v>33934</v>
      </c>
      <c r="I381" s="13">
        <v>12058</v>
      </c>
      <c r="J381" t="s">
        <v>25</v>
      </c>
      <c r="K381" s="13">
        <f>HR_Data[[#This Row],[Salary]]+HR_Data[[#This Row],[Bonus]]</f>
        <v>45992</v>
      </c>
    </row>
    <row r="382" spans="1:11" x14ac:dyDescent="0.25">
      <c r="A382">
        <v>1381</v>
      </c>
      <c r="B382" t="s">
        <v>422</v>
      </c>
      <c r="C382" t="s">
        <v>11</v>
      </c>
      <c r="D382" t="s">
        <v>14</v>
      </c>
      <c r="E382" t="s">
        <v>17</v>
      </c>
      <c r="F382" t="s">
        <v>21</v>
      </c>
      <c r="G382">
        <v>51</v>
      </c>
      <c r="H382" s="13">
        <v>30095</v>
      </c>
      <c r="I382" s="13">
        <v>22206</v>
      </c>
      <c r="J382" t="s">
        <v>25</v>
      </c>
      <c r="K382" s="13">
        <f>HR_Data[[#This Row],[Salary]]+HR_Data[[#This Row],[Bonus]]</f>
        <v>52301</v>
      </c>
    </row>
    <row r="383" spans="1:11" x14ac:dyDescent="0.25">
      <c r="A383">
        <v>1382</v>
      </c>
      <c r="B383" t="s">
        <v>423</v>
      </c>
      <c r="C383" t="s">
        <v>10</v>
      </c>
      <c r="D383" t="s">
        <v>14</v>
      </c>
      <c r="E383" t="s">
        <v>20</v>
      </c>
      <c r="F383" t="s">
        <v>23</v>
      </c>
      <c r="G383">
        <v>51</v>
      </c>
      <c r="H383" s="13">
        <v>111494</v>
      </c>
      <c r="I383" s="13">
        <v>16894</v>
      </c>
      <c r="J383" t="s">
        <v>25</v>
      </c>
      <c r="K383" s="13">
        <f>HR_Data[[#This Row],[Salary]]+HR_Data[[#This Row],[Bonus]]</f>
        <v>128388</v>
      </c>
    </row>
    <row r="384" spans="1:11" x14ac:dyDescent="0.25">
      <c r="A384">
        <v>1383</v>
      </c>
      <c r="B384" t="s">
        <v>424</v>
      </c>
      <c r="C384" t="s">
        <v>11</v>
      </c>
      <c r="D384" t="s">
        <v>14</v>
      </c>
      <c r="E384" t="s">
        <v>16</v>
      </c>
      <c r="F384" t="s">
        <v>23</v>
      </c>
      <c r="G384">
        <v>57</v>
      </c>
      <c r="H384" s="13">
        <v>38706</v>
      </c>
      <c r="I384" s="13">
        <v>7939</v>
      </c>
      <c r="J384" t="s">
        <v>25</v>
      </c>
      <c r="K384" s="13">
        <f>HR_Data[[#This Row],[Salary]]+HR_Data[[#This Row],[Bonus]]</f>
        <v>46645</v>
      </c>
    </row>
    <row r="385" spans="1:11" x14ac:dyDescent="0.25">
      <c r="A385">
        <v>1384</v>
      </c>
      <c r="B385" t="s">
        <v>425</v>
      </c>
      <c r="C385" t="s">
        <v>10</v>
      </c>
      <c r="D385" t="s">
        <v>14</v>
      </c>
      <c r="E385" t="s">
        <v>19</v>
      </c>
      <c r="F385" t="s">
        <v>21</v>
      </c>
      <c r="G385">
        <v>24</v>
      </c>
      <c r="H385" s="13">
        <v>63516</v>
      </c>
      <c r="I385" s="13">
        <v>28480</v>
      </c>
      <c r="J385" t="s">
        <v>25</v>
      </c>
      <c r="K385" s="13">
        <f>HR_Data[[#This Row],[Salary]]+HR_Data[[#This Row],[Bonus]]</f>
        <v>91996</v>
      </c>
    </row>
    <row r="386" spans="1:11" x14ac:dyDescent="0.25">
      <c r="A386">
        <v>1385</v>
      </c>
      <c r="B386" t="s">
        <v>426</v>
      </c>
      <c r="C386" t="s">
        <v>9</v>
      </c>
      <c r="D386" t="s">
        <v>15</v>
      </c>
      <c r="E386" t="s">
        <v>20</v>
      </c>
      <c r="F386" t="s">
        <v>23</v>
      </c>
      <c r="G386">
        <v>43</v>
      </c>
      <c r="H386" s="13">
        <v>117008</v>
      </c>
      <c r="I386" s="13">
        <v>27149</v>
      </c>
      <c r="J386" t="s">
        <v>25</v>
      </c>
      <c r="K386" s="13">
        <f>HR_Data[[#This Row],[Salary]]+HR_Data[[#This Row],[Bonus]]</f>
        <v>144157</v>
      </c>
    </row>
    <row r="387" spans="1:11" x14ac:dyDescent="0.25">
      <c r="A387">
        <v>1386</v>
      </c>
      <c r="B387" t="s">
        <v>427</v>
      </c>
      <c r="C387" t="s">
        <v>10</v>
      </c>
      <c r="D387" t="s">
        <v>14</v>
      </c>
      <c r="E387" t="s">
        <v>17</v>
      </c>
      <c r="F387" t="s">
        <v>21</v>
      </c>
      <c r="G387">
        <v>43</v>
      </c>
      <c r="H387" s="13">
        <v>54629</v>
      </c>
      <c r="I387" s="13">
        <v>6031</v>
      </c>
      <c r="J387" t="s">
        <v>25</v>
      </c>
      <c r="K387" s="13">
        <f>HR_Data[[#This Row],[Salary]]+HR_Data[[#This Row],[Bonus]]</f>
        <v>60660</v>
      </c>
    </row>
    <row r="388" spans="1:11" x14ac:dyDescent="0.25">
      <c r="A388">
        <v>1387</v>
      </c>
      <c r="B388" t="s">
        <v>428</v>
      </c>
      <c r="C388" t="s">
        <v>10</v>
      </c>
      <c r="D388" t="s">
        <v>14</v>
      </c>
      <c r="E388" t="s">
        <v>16</v>
      </c>
      <c r="F388" t="s">
        <v>21</v>
      </c>
      <c r="G388">
        <v>33</v>
      </c>
      <c r="H388" s="13">
        <v>66910</v>
      </c>
      <c r="I388" s="13">
        <v>15208</v>
      </c>
      <c r="J388" t="s">
        <v>26</v>
      </c>
      <c r="K388" s="13">
        <f>HR_Data[[#This Row],[Salary]]+HR_Data[[#This Row],[Bonus]]</f>
        <v>82118</v>
      </c>
    </row>
    <row r="389" spans="1:11" x14ac:dyDescent="0.25">
      <c r="A389">
        <v>1388</v>
      </c>
      <c r="B389" t="s">
        <v>429</v>
      </c>
      <c r="C389" t="s">
        <v>10</v>
      </c>
      <c r="D389" t="s">
        <v>15</v>
      </c>
      <c r="E389" t="s">
        <v>18</v>
      </c>
      <c r="F389" t="s">
        <v>23</v>
      </c>
      <c r="G389">
        <v>42</v>
      </c>
      <c r="H389" s="13">
        <v>108540</v>
      </c>
      <c r="I389" s="13">
        <v>5562</v>
      </c>
      <c r="J389" t="s">
        <v>25</v>
      </c>
      <c r="K389" s="13">
        <f>HR_Data[[#This Row],[Salary]]+HR_Data[[#This Row],[Bonus]]</f>
        <v>114102</v>
      </c>
    </row>
    <row r="390" spans="1:11" x14ac:dyDescent="0.25">
      <c r="A390">
        <v>1389</v>
      </c>
      <c r="B390" t="s">
        <v>430</v>
      </c>
      <c r="C390" t="s">
        <v>12</v>
      </c>
      <c r="D390" t="s">
        <v>14</v>
      </c>
      <c r="E390" t="s">
        <v>18</v>
      </c>
      <c r="F390" t="s">
        <v>23</v>
      </c>
      <c r="G390">
        <v>25</v>
      </c>
      <c r="H390" s="13">
        <v>40431</v>
      </c>
      <c r="I390" s="13">
        <v>15730</v>
      </c>
      <c r="J390" t="s">
        <v>26</v>
      </c>
      <c r="K390" s="13">
        <f>HR_Data[[#This Row],[Salary]]+HR_Data[[#This Row],[Bonus]]</f>
        <v>56161</v>
      </c>
    </row>
    <row r="391" spans="1:11" x14ac:dyDescent="0.25">
      <c r="A391">
        <v>1390</v>
      </c>
      <c r="B391" t="s">
        <v>431</v>
      </c>
      <c r="C391" t="s">
        <v>12</v>
      </c>
      <c r="D391" t="s">
        <v>14</v>
      </c>
      <c r="E391" t="s">
        <v>17</v>
      </c>
      <c r="F391" t="s">
        <v>24</v>
      </c>
      <c r="G391">
        <v>52</v>
      </c>
      <c r="H391" s="13">
        <v>76733</v>
      </c>
      <c r="I391" s="13">
        <v>21724</v>
      </c>
      <c r="J391" t="s">
        <v>25</v>
      </c>
      <c r="K391" s="13">
        <f>HR_Data[[#This Row],[Salary]]+HR_Data[[#This Row],[Bonus]]</f>
        <v>98457</v>
      </c>
    </row>
    <row r="392" spans="1:11" x14ac:dyDescent="0.25">
      <c r="A392">
        <v>1391</v>
      </c>
      <c r="B392" t="s">
        <v>432</v>
      </c>
      <c r="C392" t="s">
        <v>12</v>
      </c>
      <c r="D392" t="s">
        <v>15</v>
      </c>
      <c r="E392" t="s">
        <v>16</v>
      </c>
      <c r="F392" t="s">
        <v>24</v>
      </c>
      <c r="G392">
        <v>52</v>
      </c>
      <c r="H392" s="13">
        <v>60088</v>
      </c>
      <c r="I392" s="13">
        <v>25951</v>
      </c>
      <c r="J392" t="s">
        <v>26</v>
      </c>
      <c r="K392" s="13">
        <f>HR_Data[[#This Row],[Salary]]+HR_Data[[#This Row],[Bonus]]</f>
        <v>86039</v>
      </c>
    </row>
    <row r="393" spans="1:11" x14ac:dyDescent="0.25">
      <c r="A393">
        <v>1392</v>
      </c>
      <c r="B393" t="s">
        <v>433</v>
      </c>
      <c r="C393" t="s">
        <v>9</v>
      </c>
      <c r="D393" t="s">
        <v>14</v>
      </c>
      <c r="E393" t="s">
        <v>19</v>
      </c>
      <c r="F393" t="s">
        <v>22</v>
      </c>
      <c r="G393">
        <v>44</v>
      </c>
      <c r="H393" s="13">
        <v>64135</v>
      </c>
      <c r="I393" s="13">
        <v>21152</v>
      </c>
      <c r="J393" t="s">
        <v>25</v>
      </c>
      <c r="K393" s="13">
        <f>HR_Data[[#This Row],[Salary]]+HR_Data[[#This Row],[Bonus]]</f>
        <v>85287</v>
      </c>
    </row>
    <row r="394" spans="1:11" x14ac:dyDescent="0.25">
      <c r="A394">
        <v>1393</v>
      </c>
      <c r="B394" t="s">
        <v>434</v>
      </c>
      <c r="C394" t="s">
        <v>11</v>
      </c>
      <c r="D394" t="s">
        <v>14</v>
      </c>
      <c r="E394" t="s">
        <v>20</v>
      </c>
      <c r="F394" t="s">
        <v>22</v>
      </c>
      <c r="G394">
        <v>41</v>
      </c>
      <c r="H394" s="13">
        <v>58015</v>
      </c>
      <c r="I394" s="13">
        <v>18998</v>
      </c>
      <c r="J394" t="s">
        <v>25</v>
      </c>
      <c r="K394" s="13">
        <f>HR_Data[[#This Row],[Salary]]+HR_Data[[#This Row],[Bonus]]</f>
        <v>77013</v>
      </c>
    </row>
    <row r="395" spans="1:11" x14ac:dyDescent="0.25">
      <c r="A395">
        <v>1394</v>
      </c>
      <c r="B395" t="s">
        <v>435</v>
      </c>
      <c r="C395" t="s">
        <v>2042</v>
      </c>
      <c r="D395" t="s">
        <v>14</v>
      </c>
      <c r="E395" t="s">
        <v>16</v>
      </c>
      <c r="F395" t="s">
        <v>23</v>
      </c>
      <c r="G395">
        <v>36</v>
      </c>
      <c r="H395" s="13">
        <v>51385</v>
      </c>
      <c r="I395" s="13">
        <v>29246</v>
      </c>
      <c r="J395" t="s">
        <v>25</v>
      </c>
      <c r="K395" s="13">
        <f>HR_Data[[#This Row],[Salary]]+HR_Data[[#This Row],[Bonus]]</f>
        <v>80631</v>
      </c>
    </row>
    <row r="396" spans="1:11" x14ac:dyDescent="0.25">
      <c r="A396">
        <v>1395</v>
      </c>
      <c r="B396" t="s">
        <v>436</v>
      </c>
      <c r="C396" t="s">
        <v>10</v>
      </c>
      <c r="D396" t="s">
        <v>15</v>
      </c>
      <c r="E396" t="s">
        <v>18</v>
      </c>
      <c r="F396" t="s">
        <v>21</v>
      </c>
      <c r="G396">
        <v>44</v>
      </c>
      <c r="H396" s="13">
        <v>90199</v>
      </c>
      <c r="I396" s="13">
        <v>23680</v>
      </c>
      <c r="J396" t="s">
        <v>25</v>
      </c>
      <c r="K396" s="13">
        <f>HR_Data[[#This Row],[Salary]]+HR_Data[[#This Row],[Bonus]]</f>
        <v>113879</v>
      </c>
    </row>
    <row r="397" spans="1:11" x14ac:dyDescent="0.25">
      <c r="A397">
        <v>1396</v>
      </c>
      <c r="B397" t="s">
        <v>437</v>
      </c>
      <c r="C397" t="s">
        <v>10</v>
      </c>
      <c r="D397" t="s">
        <v>14</v>
      </c>
      <c r="E397" t="s">
        <v>17</v>
      </c>
      <c r="F397" t="s">
        <v>22</v>
      </c>
      <c r="G397">
        <v>49</v>
      </c>
      <c r="H397" s="13">
        <v>58677</v>
      </c>
      <c r="I397" s="13">
        <v>21618</v>
      </c>
      <c r="J397" t="s">
        <v>25</v>
      </c>
      <c r="K397" s="13">
        <f>HR_Data[[#This Row],[Salary]]+HR_Data[[#This Row],[Bonus]]</f>
        <v>80295</v>
      </c>
    </row>
    <row r="398" spans="1:11" x14ac:dyDescent="0.25">
      <c r="A398">
        <v>1397</v>
      </c>
      <c r="B398" t="s">
        <v>438</v>
      </c>
      <c r="C398" t="s">
        <v>9</v>
      </c>
      <c r="D398" t="s">
        <v>14</v>
      </c>
      <c r="E398" t="s">
        <v>17</v>
      </c>
      <c r="F398" t="s">
        <v>23</v>
      </c>
      <c r="G398">
        <v>37</v>
      </c>
      <c r="H398" s="13">
        <v>32818</v>
      </c>
      <c r="I398" s="13">
        <v>26586</v>
      </c>
      <c r="J398" t="s">
        <v>25</v>
      </c>
      <c r="K398" s="13">
        <f>HR_Data[[#This Row],[Salary]]+HR_Data[[#This Row],[Bonus]]</f>
        <v>59404</v>
      </c>
    </row>
    <row r="399" spans="1:11" x14ac:dyDescent="0.25">
      <c r="A399">
        <v>1398</v>
      </c>
      <c r="B399" t="s">
        <v>439</v>
      </c>
      <c r="C399" t="s">
        <v>10</v>
      </c>
      <c r="D399" t="s">
        <v>15</v>
      </c>
      <c r="E399" t="s">
        <v>20</v>
      </c>
      <c r="F399" t="s">
        <v>22</v>
      </c>
      <c r="G399">
        <v>58</v>
      </c>
      <c r="H399" s="13">
        <v>108222</v>
      </c>
      <c r="I399" s="13">
        <v>14308</v>
      </c>
      <c r="J399" t="s">
        <v>25</v>
      </c>
      <c r="K399" s="13">
        <f>HR_Data[[#This Row],[Salary]]+HR_Data[[#This Row],[Bonus]]</f>
        <v>122530</v>
      </c>
    </row>
    <row r="400" spans="1:11" x14ac:dyDescent="0.25">
      <c r="A400">
        <v>1399</v>
      </c>
      <c r="B400" t="s">
        <v>440</v>
      </c>
      <c r="C400" t="s">
        <v>12</v>
      </c>
      <c r="D400" t="s">
        <v>14</v>
      </c>
      <c r="E400" t="s">
        <v>17</v>
      </c>
      <c r="F400" t="s">
        <v>21</v>
      </c>
      <c r="G400">
        <v>42</v>
      </c>
      <c r="H400" s="13">
        <v>83001</v>
      </c>
      <c r="I400" s="13">
        <v>14609</v>
      </c>
      <c r="J400" t="s">
        <v>25</v>
      </c>
      <c r="K400" s="13">
        <f>HR_Data[[#This Row],[Salary]]+HR_Data[[#This Row],[Bonus]]</f>
        <v>97610</v>
      </c>
    </row>
    <row r="401" spans="1:11" x14ac:dyDescent="0.25">
      <c r="A401">
        <v>1400</v>
      </c>
      <c r="B401" t="s">
        <v>441</v>
      </c>
      <c r="C401" t="s">
        <v>2042</v>
      </c>
      <c r="D401" t="s">
        <v>15</v>
      </c>
      <c r="E401" t="s">
        <v>17</v>
      </c>
      <c r="F401" t="s">
        <v>23</v>
      </c>
      <c r="G401">
        <v>36</v>
      </c>
      <c r="H401" s="13">
        <v>43977</v>
      </c>
      <c r="I401" s="13">
        <v>22675</v>
      </c>
      <c r="J401" t="s">
        <v>25</v>
      </c>
      <c r="K401" s="13">
        <f>HR_Data[[#This Row],[Salary]]+HR_Data[[#This Row],[Bonus]]</f>
        <v>66652</v>
      </c>
    </row>
    <row r="402" spans="1:11" x14ac:dyDescent="0.25">
      <c r="A402">
        <v>1401</v>
      </c>
      <c r="B402" t="s">
        <v>442</v>
      </c>
      <c r="C402" t="s">
        <v>8</v>
      </c>
      <c r="D402" t="s">
        <v>15</v>
      </c>
      <c r="E402" t="s">
        <v>16</v>
      </c>
      <c r="F402" t="s">
        <v>21</v>
      </c>
      <c r="G402">
        <v>38</v>
      </c>
      <c r="H402" s="13">
        <v>69832</v>
      </c>
      <c r="I402" s="13">
        <v>26111</v>
      </c>
      <c r="J402" t="s">
        <v>25</v>
      </c>
      <c r="K402" s="13">
        <f>HR_Data[[#This Row],[Salary]]+HR_Data[[#This Row],[Bonus]]</f>
        <v>95943</v>
      </c>
    </row>
    <row r="403" spans="1:11" x14ac:dyDescent="0.25">
      <c r="A403">
        <v>1402</v>
      </c>
      <c r="B403" t="s">
        <v>443</v>
      </c>
      <c r="C403" t="s">
        <v>10</v>
      </c>
      <c r="D403" t="s">
        <v>14</v>
      </c>
      <c r="E403" t="s">
        <v>19</v>
      </c>
      <c r="F403" t="s">
        <v>23</v>
      </c>
      <c r="G403">
        <v>58</v>
      </c>
      <c r="H403" s="13">
        <v>60931</v>
      </c>
      <c r="I403" s="13">
        <v>13720</v>
      </c>
      <c r="J403" t="s">
        <v>25</v>
      </c>
      <c r="K403" s="13">
        <f>HR_Data[[#This Row],[Salary]]+HR_Data[[#This Row],[Bonus]]</f>
        <v>74651</v>
      </c>
    </row>
    <row r="404" spans="1:11" x14ac:dyDescent="0.25">
      <c r="A404">
        <v>1403</v>
      </c>
      <c r="B404" t="s">
        <v>444</v>
      </c>
      <c r="C404" t="s">
        <v>12</v>
      </c>
      <c r="D404" t="s">
        <v>15</v>
      </c>
      <c r="E404" t="s">
        <v>20</v>
      </c>
      <c r="F404" t="s">
        <v>22</v>
      </c>
      <c r="G404">
        <v>34</v>
      </c>
      <c r="H404" s="13">
        <v>103990</v>
      </c>
      <c r="I404" s="13">
        <v>15172</v>
      </c>
      <c r="J404" t="s">
        <v>25</v>
      </c>
      <c r="K404" s="13">
        <f>HR_Data[[#This Row],[Salary]]+HR_Data[[#This Row],[Bonus]]</f>
        <v>119162</v>
      </c>
    </row>
    <row r="405" spans="1:11" x14ac:dyDescent="0.25">
      <c r="A405">
        <v>1404</v>
      </c>
      <c r="B405" t="s">
        <v>445</v>
      </c>
      <c r="C405" t="s">
        <v>8</v>
      </c>
      <c r="D405" t="s">
        <v>15</v>
      </c>
      <c r="E405" t="s">
        <v>16</v>
      </c>
      <c r="F405" t="s">
        <v>24</v>
      </c>
      <c r="G405">
        <v>40</v>
      </c>
      <c r="H405" s="13">
        <v>98894</v>
      </c>
      <c r="I405" s="13">
        <v>19457</v>
      </c>
      <c r="J405" t="s">
        <v>27</v>
      </c>
      <c r="K405" s="13">
        <f>HR_Data[[#This Row],[Salary]]+HR_Data[[#This Row],[Bonus]]</f>
        <v>118351</v>
      </c>
    </row>
    <row r="406" spans="1:11" x14ac:dyDescent="0.25">
      <c r="A406">
        <v>1405</v>
      </c>
      <c r="B406" t="s">
        <v>446</v>
      </c>
      <c r="C406" t="s">
        <v>2042</v>
      </c>
      <c r="D406" t="s">
        <v>14</v>
      </c>
      <c r="E406" t="s">
        <v>19</v>
      </c>
      <c r="F406" t="s">
        <v>22</v>
      </c>
      <c r="G406">
        <v>51</v>
      </c>
      <c r="H406" s="13">
        <v>92204</v>
      </c>
      <c r="I406" s="13">
        <v>7939</v>
      </c>
      <c r="J406" t="s">
        <v>25</v>
      </c>
      <c r="K406" s="13">
        <f>HR_Data[[#This Row],[Salary]]+HR_Data[[#This Row],[Bonus]]</f>
        <v>100143</v>
      </c>
    </row>
    <row r="407" spans="1:11" x14ac:dyDescent="0.25">
      <c r="A407">
        <v>1406</v>
      </c>
      <c r="B407" t="s">
        <v>447</v>
      </c>
      <c r="C407" t="s">
        <v>8</v>
      </c>
      <c r="D407" t="s">
        <v>15</v>
      </c>
      <c r="E407" t="s">
        <v>16</v>
      </c>
      <c r="F407" t="s">
        <v>22</v>
      </c>
      <c r="G407">
        <v>39</v>
      </c>
      <c r="H407" s="13">
        <v>65784</v>
      </c>
      <c r="I407" s="13">
        <v>19345</v>
      </c>
      <c r="J407" t="s">
        <v>25</v>
      </c>
      <c r="K407" s="13">
        <f>HR_Data[[#This Row],[Salary]]+HR_Data[[#This Row],[Bonus]]</f>
        <v>85129</v>
      </c>
    </row>
    <row r="408" spans="1:11" x14ac:dyDescent="0.25">
      <c r="A408">
        <v>1407</v>
      </c>
      <c r="B408" t="s">
        <v>448</v>
      </c>
      <c r="C408" t="s">
        <v>12</v>
      </c>
      <c r="D408" t="s">
        <v>15</v>
      </c>
      <c r="E408" t="s">
        <v>16</v>
      </c>
      <c r="F408" t="s">
        <v>24</v>
      </c>
      <c r="G408">
        <v>35</v>
      </c>
      <c r="H408" s="13">
        <v>29921</v>
      </c>
      <c r="I408" s="13">
        <v>21158</v>
      </c>
      <c r="J408" t="s">
        <v>25</v>
      </c>
      <c r="K408" s="13">
        <f>HR_Data[[#This Row],[Salary]]+HR_Data[[#This Row],[Bonus]]</f>
        <v>51079</v>
      </c>
    </row>
    <row r="409" spans="1:11" x14ac:dyDescent="0.25">
      <c r="A409">
        <v>1408</v>
      </c>
      <c r="B409" t="s">
        <v>449</v>
      </c>
      <c r="C409" t="s">
        <v>11</v>
      </c>
      <c r="D409" t="s">
        <v>14</v>
      </c>
      <c r="E409" t="s">
        <v>17</v>
      </c>
      <c r="F409" t="s">
        <v>24</v>
      </c>
      <c r="G409">
        <v>57</v>
      </c>
      <c r="H409" s="13">
        <v>54959</v>
      </c>
      <c r="I409" s="13">
        <v>10435</v>
      </c>
      <c r="J409" t="s">
        <v>25</v>
      </c>
      <c r="K409" s="13">
        <f>HR_Data[[#This Row],[Salary]]+HR_Data[[#This Row],[Bonus]]</f>
        <v>65394</v>
      </c>
    </row>
    <row r="410" spans="1:11" x14ac:dyDescent="0.25">
      <c r="A410">
        <v>1409</v>
      </c>
      <c r="B410" t="s">
        <v>450</v>
      </c>
      <c r="C410" t="s">
        <v>11</v>
      </c>
      <c r="D410" t="s">
        <v>27</v>
      </c>
      <c r="E410" t="s">
        <v>19</v>
      </c>
      <c r="F410" t="s">
        <v>23</v>
      </c>
      <c r="G410">
        <v>57</v>
      </c>
      <c r="H410" s="13">
        <v>52328</v>
      </c>
      <c r="I410" s="13">
        <v>28365</v>
      </c>
      <c r="J410" t="s">
        <v>25</v>
      </c>
      <c r="K410" s="13">
        <f>HR_Data[[#This Row],[Salary]]+HR_Data[[#This Row],[Bonus]]</f>
        <v>80693</v>
      </c>
    </row>
    <row r="411" spans="1:11" x14ac:dyDescent="0.25">
      <c r="A411">
        <v>1410</v>
      </c>
      <c r="B411" t="s">
        <v>451</v>
      </c>
      <c r="C411" t="s">
        <v>8</v>
      </c>
      <c r="D411" t="s">
        <v>14</v>
      </c>
      <c r="E411" t="s">
        <v>20</v>
      </c>
      <c r="F411" t="s">
        <v>23</v>
      </c>
      <c r="G411">
        <v>41</v>
      </c>
      <c r="H411" s="13">
        <v>28859</v>
      </c>
      <c r="I411" s="13">
        <v>10392</v>
      </c>
      <c r="J411" t="s">
        <v>25</v>
      </c>
      <c r="K411" s="13">
        <f>HR_Data[[#This Row],[Salary]]+HR_Data[[#This Row],[Bonus]]</f>
        <v>39251</v>
      </c>
    </row>
    <row r="412" spans="1:11" x14ac:dyDescent="0.25">
      <c r="A412">
        <v>1411</v>
      </c>
      <c r="B412" t="s">
        <v>452</v>
      </c>
      <c r="C412" t="s">
        <v>9</v>
      </c>
      <c r="D412" t="s">
        <v>15</v>
      </c>
      <c r="E412" t="s">
        <v>20</v>
      </c>
      <c r="F412" t="s">
        <v>21</v>
      </c>
      <c r="G412">
        <v>40</v>
      </c>
      <c r="H412" s="13">
        <v>109506</v>
      </c>
      <c r="I412" s="13">
        <v>12972</v>
      </c>
      <c r="J412" t="s">
        <v>26</v>
      </c>
      <c r="K412" s="13">
        <f>HR_Data[[#This Row],[Salary]]+HR_Data[[#This Row],[Bonus]]</f>
        <v>122478</v>
      </c>
    </row>
    <row r="413" spans="1:11" x14ac:dyDescent="0.25">
      <c r="A413">
        <v>1412</v>
      </c>
      <c r="B413" t="s">
        <v>453</v>
      </c>
      <c r="C413" t="s">
        <v>8</v>
      </c>
      <c r="D413" t="s">
        <v>14</v>
      </c>
      <c r="E413" t="s">
        <v>19</v>
      </c>
      <c r="F413" t="s">
        <v>21</v>
      </c>
      <c r="G413">
        <v>28</v>
      </c>
      <c r="H413" s="13">
        <v>94408</v>
      </c>
      <c r="I413" s="13">
        <v>22617</v>
      </c>
      <c r="J413" t="s">
        <v>26</v>
      </c>
      <c r="K413" s="13">
        <f>HR_Data[[#This Row],[Salary]]+HR_Data[[#This Row],[Bonus]]</f>
        <v>117025</v>
      </c>
    </row>
    <row r="414" spans="1:11" x14ac:dyDescent="0.25">
      <c r="A414">
        <v>1413</v>
      </c>
      <c r="B414" t="s">
        <v>454</v>
      </c>
      <c r="C414" t="s">
        <v>10</v>
      </c>
      <c r="D414" t="s">
        <v>15</v>
      </c>
      <c r="E414" t="s">
        <v>17</v>
      </c>
      <c r="F414" t="s">
        <v>22</v>
      </c>
      <c r="G414">
        <v>25</v>
      </c>
      <c r="H414" s="13">
        <v>104766</v>
      </c>
      <c r="I414" s="13">
        <v>24184</v>
      </c>
      <c r="J414" t="s">
        <v>25</v>
      </c>
      <c r="K414" s="13">
        <f>HR_Data[[#This Row],[Salary]]+HR_Data[[#This Row],[Bonus]]</f>
        <v>128950</v>
      </c>
    </row>
    <row r="415" spans="1:11" x14ac:dyDescent="0.25">
      <c r="A415">
        <v>1414</v>
      </c>
      <c r="B415" t="s">
        <v>455</v>
      </c>
      <c r="C415" t="s">
        <v>10</v>
      </c>
      <c r="D415" t="s">
        <v>15</v>
      </c>
      <c r="E415" t="s">
        <v>18</v>
      </c>
      <c r="F415" t="s">
        <v>24</v>
      </c>
      <c r="G415">
        <v>55</v>
      </c>
      <c r="H415" s="13">
        <v>46708</v>
      </c>
      <c r="I415" s="13">
        <v>19799</v>
      </c>
      <c r="J415" t="s">
        <v>25</v>
      </c>
      <c r="K415" s="13">
        <f>HR_Data[[#This Row],[Salary]]+HR_Data[[#This Row],[Bonus]]</f>
        <v>66507</v>
      </c>
    </row>
    <row r="416" spans="1:11" x14ac:dyDescent="0.25">
      <c r="A416">
        <v>1415</v>
      </c>
      <c r="B416" t="s">
        <v>456</v>
      </c>
      <c r="C416" t="s">
        <v>11</v>
      </c>
      <c r="D416" t="s">
        <v>15</v>
      </c>
      <c r="E416" t="s">
        <v>16</v>
      </c>
      <c r="F416" t="s">
        <v>21</v>
      </c>
      <c r="G416">
        <v>23</v>
      </c>
      <c r="H416" s="13">
        <v>38847</v>
      </c>
      <c r="I416" s="13">
        <v>24159</v>
      </c>
      <c r="J416" t="s">
        <v>25</v>
      </c>
      <c r="K416" s="13">
        <f>HR_Data[[#This Row],[Salary]]+HR_Data[[#This Row],[Bonus]]</f>
        <v>63006</v>
      </c>
    </row>
    <row r="417" spans="1:11" x14ac:dyDescent="0.25">
      <c r="A417">
        <v>1416</v>
      </c>
      <c r="B417" t="s">
        <v>457</v>
      </c>
      <c r="C417" t="s">
        <v>9</v>
      </c>
      <c r="D417" t="s">
        <v>15</v>
      </c>
      <c r="E417" t="s">
        <v>17</v>
      </c>
      <c r="F417" t="s">
        <v>22</v>
      </c>
      <c r="G417">
        <v>26</v>
      </c>
      <c r="H417" s="13">
        <v>75989</v>
      </c>
      <c r="I417" s="13">
        <v>20052</v>
      </c>
      <c r="J417" t="s">
        <v>25</v>
      </c>
      <c r="K417" s="13">
        <f>HR_Data[[#This Row],[Salary]]+HR_Data[[#This Row],[Bonus]]</f>
        <v>96041</v>
      </c>
    </row>
    <row r="418" spans="1:11" x14ac:dyDescent="0.25">
      <c r="A418">
        <v>1417</v>
      </c>
      <c r="B418" t="s">
        <v>458</v>
      </c>
      <c r="C418" t="s">
        <v>12</v>
      </c>
      <c r="D418" t="s">
        <v>15</v>
      </c>
      <c r="E418" t="s">
        <v>19</v>
      </c>
      <c r="F418" t="s">
        <v>24</v>
      </c>
      <c r="G418">
        <v>31</v>
      </c>
      <c r="H418" s="13">
        <v>112641</v>
      </c>
      <c r="I418" s="13">
        <v>11044</v>
      </c>
      <c r="J418" t="s">
        <v>25</v>
      </c>
      <c r="K418" s="13">
        <f>HR_Data[[#This Row],[Salary]]+HR_Data[[#This Row],[Bonus]]</f>
        <v>123685</v>
      </c>
    </row>
    <row r="419" spans="1:11" x14ac:dyDescent="0.25">
      <c r="A419">
        <v>1418</v>
      </c>
      <c r="B419" t="s">
        <v>459</v>
      </c>
      <c r="C419" t="s">
        <v>10</v>
      </c>
      <c r="D419" t="s">
        <v>15</v>
      </c>
      <c r="E419" t="s">
        <v>16</v>
      </c>
      <c r="F419" t="s">
        <v>23</v>
      </c>
      <c r="G419">
        <v>53</v>
      </c>
      <c r="H419" s="13">
        <v>24922</v>
      </c>
      <c r="I419" s="13">
        <v>24871</v>
      </c>
      <c r="J419" t="s">
        <v>25</v>
      </c>
      <c r="K419" s="13">
        <f>HR_Data[[#This Row],[Salary]]+HR_Data[[#This Row],[Bonus]]</f>
        <v>49793</v>
      </c>
    </row>
    <row r="420" spans="1:11" x14ac:dyDescent="0.25">
      <c r="A420">
        <v>1419</v>
      </c>
      <c r="B420" t="s">
        <v>460</v>
      </c>
      <c r="C420" t="s">
        <v>11</v>
      </c>
      <c r="D420" t="s">
        <v>15</v>
      </c>
      <c r="E420" t="s">
        <v>20</v>
      </c>
      <c r="F420" t="s">
        <v>22</v>
      </c>
      <c r="G420">
        <v>34</v>
      </c>
      <c r="H420" s="13">
        <v>89928</v>
      </c>
      <c r="I420" s="13">
        <v>28767</v>
      </c>
      <c r="J420" t="s">
        <v>25</v>
      </c>
      <c r="K420" s="13">
        <f>HR_Data[[#This Row],[Salary]]+HR_Data[[#This Row],[Bonus]]</f>
        <v>118695</v>
      </c>
    </row>
    <row r="421" spans="1:11" x14ac:dyDescent="0.25">
      <c r="A421">
        <v>1420</v>
      </c>
      <c r="B421" t="s">
        <v>461</v>
      </c>
      <c r="C421" t="s">
        <v>2042</v>
      </c>
      <c r="D421" t="s">
        <v>14</v>
      </c>
      <c r="E421" t="s">
        <v>18</v>
      </c>
      <c r="F421" t="s">
        <v>23</v>
      </c>
      <c r="G421">
        <v>26</v>
      </c>
      <c r="H421" s="13">
        <v>72335</v>
      </c>
      <c r="I421" s="13">
        <v>19415</v>
      </c>
      <c r="J421" t="s">
        <v>25</v>
      </c>
      <c r="K421" s="13">
        <f>HR_Data[[#This Row],[Salary]]+HR_Data[[#This Row],[Bonus]]</f>
        <v>91750</v>
      </c>
    </row>
    <row r="422" spans="1:11" x14ac:dyDescent="0.25">
      <c r="A422">
        <v>1421</v>
      </c>
      <c r="B422" t="s">
        <v>462</v>
      </c>
      <c r="C422" t="s">
        <v>11</v>
      </c>
      <c r="D422" t="s">
        <v>14</v>
      </c>
      <c r="E422" t="s">
        <v>20</v>
      </c>
      <c r="F422" t="s">
        <v>21</v>
      </c>
      <c r="G422">
        <v>31</v>
      </c>
      <c r="H422" s="13">
        <v>33541</v>
      </c>
      <c r="I422" s="13">
        <v>25234</v>
      </c>
      <c r="J422" t="s">
        <v>25</v>
      </c>
      <c r="K422" s="13">
        <f>HR_Data[[#This Row],[Salary]]+HR_Data[[#This Row],[Bonus]]</f>
        <v>58775</v>
      </c>
    </row>
    <row r="423" spans="1:11" x14ac:dyDescent="0.25">
      <c r="A423">
        <v>1422</v>
      </c>
      <c r="B423" t="s">
        <v>463</v>
      </c>
      <c r="C423" t="s">
        <v>27</v>
      </c>
      <c r="D423" t="s">
        <v>15</v>
      </c>
      <c r="E423" t="s">
        <v>19</v>
      </c>
      <c r="F423" t="s">
        <v>21</v>
      </c>
      <c r="G423">
        <v>31</v>
      </c>
      <c r="H423" s="13">
        <v>39551</v>
      </c>
      <c r="I423" s="13">
        <v>26381</v>
      </c>
      <c r="J423" t="s">
        <v>26</v>
      </c>
      <c r="K423" s="13">
        <f>HR_Data[[#This Row],[Salary]]+HR_Data[[#This Row],[Bonus]]</f>
        <v>65932</v>
      </c>
    </row>
    <row r="424" spans="1:11" x14ac:dyDescent="0.25">
      <c r="A424">
        <v>1423</v>
      </c>
      <c r="B424" t="s">
        <v>464</v>
      </c>
      <c r="C424" t="s">
        <v>10</v>
      </c>
      <c r="D424" t="s">
        <v>15</v>
      </c>
      <c r="E424" t="s">
        <v>16</v>
      </c>
      <c r="F424" t="s">
        <v>24</v>
      </c>
      <c r="G424">
        <v>59</v>
      </c>
      <c r="H424" s="13">
        <v>39381</v>
      </c>
      <c r="I424" s="13">
        <v>22274</v>
      </c>
      <c r="J424" t="s">
        <v>25</v>
      </c>
      <c r="K424" s="13">
        <f>HR_Data[[#This Row],[Salary]]+HR_Data[[#This Row],[Bonus]]</f>
        <v>61655</v>
      </c>
    </row>
    <row r="425" spans="1:11" x14ac:dyDescent="0.25">
      <c r="A425">
        <v>1424</v>
      </c>
      <c r="B425" t="s">
        <v>465</v>
      </c>
      <c r="C425" t="s">
        <v>11</v>
      </c>
      <c r="D425" t="s">
        <v>14</v>
      </c>
      <c r="E425" t="s">
        <v>19</v>
      </c>
      <c r="F425" t="s">
        <v>22</v>
      </c>
      <c r="G425">
        <v>48</v>
      </c>
      <c r="H425" s="13">
        <v>75673</v>
      </c>
      <c r="I425" s="13">
        <v>18858</v>
      </c>
      <c r="J425" t="s">
        <v>25</v>
      </c>
      <c r="K425" s="13">
        <f>HR_Data[[#This Row],[Salary]]+HR_Data[[#This Row],[Bonus]]</f>
        <v>94531</v>
      </c>
    </row>
    <row r="426" spans="1:11" x14ac:dyDescent="0.25">
      <c r="A426">
        <v>1425</v>
      </c>
      <c r="B426" t="s">
        <v>466</v>
      </c>
      <c r="C426" t="s">
        <v>12</v>
      </c>
      <c r="D426" t="s">
        <v>15</v>
      </c>
      <c r="E426" t="s">
        <v>16</v>
      </c>
      <c r="F426" t="s">
        <v>23</v>
      </c>
      <c r="G426">
        <v>42</v>
      </c>
      <c r="H426" s="13">
        <v>42948</v>
      </c>
      <c r="I426" s="13">
        <v>27304</v>
      </c>
      <c r="J426" t="s">
        <v>25</v>
      </c>
      <c r="K426" s="13">
        <f>HR_Data[[#This Row],[Salary]]+HR_Data[[#This Row],[Bonus]]</f>
        <v>70252</v>
      </c>
    </row>
    <row r="427" spans="1:11" x14ac:dyDescent="0.25">
      <c r="A427">
        <v>1426</v>
      </c>
      <c r="B427" t="s">
        <v>467</v>
      </c>
      <c r="C427" t="s">
        <v>8</v>
      </c>
      <c r="D427" t="s">
        <v>14</v>
      </c>
      <c r="E427" t="s">
        <v>17</v>
      </c>
      <c r="F427" t="s">
        <v>24</v>
      </c>
      <c r="G427">
        <v>29</v>
      </c>
      <c r="H427" s="13">
        <v>112264</v>
      </c>
      <c r="I427" s="13">
        <v>22572</v>
      </c>
      <c r="J427" t="s">
        <v>25</v>
      </c>
      <c r="K427" s="13">
        <f>HR_Data[[#This Row],[Salary]]+HR_Data[[#This Row],[Bonus]]</f>
        <v>134836</v>
      </c>
    </row>
    <row r="428" spans="1:11" x14ac:dyDescent="0.25">
      <c r="A428">
        <v>1427</v>
      </c>
      <c r="B428" t="s">
        <v>468</v>
      </c>
      <c r="C428" t="s">
        <v>10</v>
      </c>
      <c r="D428" t="s">
        <v>14</v>
      </c>
      <c r="E428" t="s">
        <v>18</v>
      </c>
      <c r="F428" t="s">
        <v>21</v>
      </c>
      <c r="G428">
        <v>22</v>
      </c>
      <c r="H428" s="13">
        <v>79072</v>
      </c>
      <c r="I428" s="13">
        <v>10644</v>
      </c>
      <c r="J428" t="s">
        <v>25</v>
      </c>
      <c r="K428" s="13">
        <f>HR_Data[[#This Row],[Salary]]+HR_Data[[#This Row],[Bonus]]</f>
        <v>89716</v>
      </c>
    </row>
    <row r="429" spans="1:11" x14ac:dyDescent="0.25">
      <c r="A429">
        <v>1428</v>
      </c>
      <c r="B429" t="s">
        <v>469</v>
      </c>
      <c r="C429" t="s">
        <v>11</v>
      </c>
      <c r="D429" t="s">
        <v>14</v>
      </c>
      <c r="E429" t="s">
        <v>17</v>
      </c>
      <c r="F429" t="s">
        <v>21</v>
      </c>
      <c r="G429">
        <v>49</v>
      </c>
      <c r="H429" s="13">
        <v>87560</v>
      </c>
      <c r="I429" s="13">
        <v>22124</v>
      </c>
      <c r="J429" t="s">
        <v>26</v>
      </c>
      <c r="K429" s="13">
        <f>HR_Data[[#This Row],[Salary]]+HR_Data[[#This Row],[Bonus]]</f>
        <v>109684</v>
      </c>
    </row>
    <row r="430" spans="1:11" x14ac:dyDescent="0.25">
      <c r="A430">
        <v>1429</v>
      </c>
      <c r="B430" t="s">
        <v>470</v>
      </c>
      <c r="C430" t="s">
        <v>11</v>
      </c>
      <c r="D430" t="s">
        <v>15</v>
      </c>
      <c r="E430" t="s">
        <v>17</v>
      </c>
      <c r="F430" t="s">
        <v>22</v>
      </c>
      <c r="G430">
        <v>35</v>
      </c>
      <c r="H430" s="13">
        <v>102249</v>
      </c>
      <c r="I430" s="13">
        <v>22753</v>
      </c>
      <c r="J430" t="s">
        <v>25</v>
      </c>
      <c r="K430" s="13">
        <f>HR_Data[[#This Row],[Salary]]+HR_Data[[#This Row],[Bonus]]</f>
        <v>125002</v>
      </c>
    </row>
    <row r="431" spans="1:11" x14ac:dyDescent="0.25">
      <c r="A431">
        <v>1430</v>
      </c>
      <c r="B431" t="s">
        <v>471</v>
      </c>
      <c r="C431" t="s">
        <v>9</v>
      </c>
      <c r="D431" t="s">
        <v>27</v>
      </c>
      <c r="E431" t="s">
        <v>19</v>
      </c>
      <c r="F431" t="s">
        <v>23</v>
      </c>
      <c r="G431">
        <v>42</v>
      </c>
      <c r="H431" s="13">
        <v>22486</v>
      </c>
      <c r="I431" s="13">
        <v>23384</v>
      </c>
      <c r="J431" t="s">
        <v>27</v>
      </c>
      <c r="K431" s="13">
        <f>HR_Data[[#This Row],[Salary]]+HR_Data[[#This Row],[Bonus]]</f>
        <v>45870</v>
      </c>
    </row>
    <row r="432" spans="1:11" x14ac:dyDescent="0.25">
      <c r="A432">
        <v>1431</v>
      </c>
      <c r="B432" t="s">
        <v>472</v>
      </c>
      <c r="C432" t="s">
        <v>8</v>
      </c>
      <c r="D432" t="s">
        <v>14</v>
      </c>
      <c r="E432" t="s">
        <v>18</v>
      </c>
      <c r="F432" t="s">
        <v>22</v>
      </c>
      <c r="G432">
        <v>51</v>
      </c>
      <c r="H432" s="13">
        <v>86691</v>
      </c>
      <c r="I432" s="13">
        <v>22855</v>
      </c>
      <c r="J432" t="s">
        <v>25</v>
      </c>
      <c r="K432" s="13">
        <f>HR_Data[[#This Row],[Salary]]+HR_Data[[#This Row],[Bonus]]</f>
        <v>109546</v>
      </c>
    </row>
    <row r="433" spans="1:11" x14ac:dyDescent="0.25">
      <c r="A433">
        <v>1432</v>
      </c>
      <c r="B433" t="s">
        <v>473</v>
      </c>
      <c r="C433" t="s">
        <v>2042</v>
      </c>
      <c r="D433" t="s">
        <v>14</v>
      </c>
      <c r="E433" t="s">
        <v>16</v>
      </c>
      <c r="F433" t="s">
        <v>23</v>
      </c>
      <c r="G433">
        <v>42</v>
      </c>
      <c r="H433" s="13">
        <v>30082</v>
      </c>
      <c r="I433" s="13">
        <v>22920</v>
      </c>
      <c r="J433" t="s">
        <v>25</v>
      </c>
      <c r="K433" s="13">
        <f>HR_Data[[#This Row],[Salary]]+HR_Data[[#This Row],[Bonus]]</f>
        <v>53002</v>
      </c>
    </row>
    <row r="434" spans="1:11" x14ac:dyDescent="0.25">
      <c r="A434">
        <v>1433</v>
      </c>
      <c r="B434" t="s">
        <v>474</v>
      </c>
      <c r="C434" t="s">
        <v>12</v>
      </c>
      <c r="D434" t="s">
        <v>14</v>
      </c>
      <c r="E434" t="s">
        <v>16</v>
      </c>
      <c r="F434" t="s">
        <v>23</v>
      </c>
      <c r="G434">
        <v>30</v>
      </c>
      <c r="H434" s="13">
        <v>104105</v>
      </c>
      <c r="I434" s="13">
        <v>21702</v>
      </c>
      <c r="J434" t="s">
        <v>25</v>
      </c>
      <c r="K434" s="13">
        <f>HR_Data[[#This Row],[Salary]]+HR_Data[[#This Row],[Bonus]]</f>
        <v>125807</v>
      </c>
    </row>
    <row r="435" spans="1:11" x14ac:dyDescent="0.25">
      <c r="A435">
        <v>1434</v>
      </c>
      <c r="B435" t="s">
        <v>475</v>
      </c>
      <c r="C435" t="s">
        <v>2042</v>
      </c>
      <c r="D435" t="s">
        <v>14</v>
      </c>
      <c r="E435" t="s">
        <v>20</v>
      </c>
      <c r="F435" t="s">
        <v>22</v>
      </c>
      <c r="G435">
        <v>38</v>
      </c>
      <c r="H435" s="13">
        <v>27086</v>
      </c>
      <c r="I435" s="13">
        <v>10153</v>
      </c>
      <c r="J435" t="s">
        <v>25</v>
      </c>
      <c r="K435" s="13">
        <f>HR_Data[[#This Row],[Salary]]+HR_Data[[#This Row],[Bonus]]</f>
        <v>37239</v>
      </c>
    </row>
    <row r="436" spans="1:11" x14ac:dyDescent="0.25">
      <c r="A436">
        <v>1435</v>
      </c>
      <c r="B436" t="s">
        <v>476</v>
      </c>
      <c r="C436" t="s">
        <v>8</v>
      </c>
      <c r="D436" t="s">
        <v>14</v>
      </c>
      <c r="E436" t="s">
        <v>16</v>
      </c>
      <c r="F436" t="s">
        <v>24</v>
      </c>
      <c r="G436">
        <v>26</v>
      </c>
      <c r="H436" s="13">
        <v>87853</v>
      </c>
      <c r="I436" s="13">
        <v>6894</v>
      </c>
      <c r="J436" t="s">
        <v>26</v>
      </c>
      <c r="K436" s="13">
        <f>HR_Data[[#This Row],[Salary]]+HR_Data[[#This Row],[Bonus]]</f>
        <v>94747</v>
      </c>
    </row>
    <row r="437" spans="1:11" x14ac:dyDescent="0.25">
      <c r="A437">
        <v>1436</v>
      </c>
      <c r="B437" t="s">
        <v>477</v>
      </c>
      <c r="C437" t="s">
        <v>8</v>
      </c>
      <c r="D437" t="s">
        <v>15</v>
      </c>
      <c r="E437" t="s">
        <v>19</v>
      </c>
      <c r="F437" t="s">
        <v>22</v>
      </c>
      <c r="G437">
        <v>52</v>
      </c>
      <c r="H437" s="13">
        <v>90027</v>
      </c>
      <c r="I437" s="13">
        <v>12991</v>
      </c>
      <c r="J437" t="s">
        <v>25</v>
      </c>
      <c r="K437" s="13">
        <f>HR_Data[[#This Row],[Salary]]+HR_Data[[#This Row],[Bonus]]</f>
        <v>103018</v>
      </c>
    </row>
    <row r="438" spans="1:11" x14ac:dyDescent="0.25">
      <c r="A438">
        <v>1437</v>
      </c>
      <c r="B438" t="s">
        <v>478</v>
      </c>
      <c r="C438" t="s">
        <v>8</v>
      </c>
      <c r="D438" t="s">
        <v>14</v>
      </c>
      <c r="E438" t="s">
        <v>17</v>
      </c>
      <c r="F438" t="s">
        <v>22</v>
      </c>
      <c r="G438">
        <v>59</v>
      </c>
      <c r="H438" s="13">
        <v>35916</v>
      </c>
      <c r="I438" s="13">
        <v>20439</v>
      </c>
      <c r="J438" t="s">
        <v>26</v>
      </c>
      <c r="K438" s="13">
        <f>HR_Data[[#This Row],[Salary]]+HR_Data[[#This Row],[Bonus]]</f>
        <v>56355</v>
      </c>
    </row>
    <row r="439" spans="1:11" x14ac:dyDescent="0.25">
      <c r="A439">
        <v>1438</v>
      </c>
      <c r="B439" t="s">
        <v>479</v>
      </c>
      <c r="C439" t="s">
        <v>2042</v>
      </c>
      <c r="D439" t="s">
        <v>15</v>
      </c>
      <c r="E439" t="s">
        <v>17</v>
      </c>
      <c r="F439" t="s">
        <v>21</v>
      </c>
      <c r="G439">
        <v>40</v>
      </c>
      <c r="H439" s="13">
        <v>35248</v>
      </c>
      <c r="I439" s="13">
        <v>14467</v>
      </c>
      <c r="J439" t="s">
        <v>25</v>
      </c>
      <c r="K439" s="13">
        <f>HR_Data[[#This Row],[Salary]]+HR_Data[[#This Row],[Bonus]]</f>
        <v>49715</v>
      </c>
    </row>
    <row r="440" spans="1:11" x14ac:dyDescent="0.25">
      <c r="A440">
        <v>1439</v>
      </c>
      <c r="B440" t="s">
        <v>480</v>
      </c>
      <c r="C440" t="s">
        <v>8</v>
      </c>
      <c r="D440" t="s">
        <v>27</v>
      </c>
      <c r="E440" t="s">
        <v>17</v>
      </c>
      <c r="F440" t="s">
        <v>21</v>
      </c>
      <c r="G440">
        <v>57</v>
      </c>
      <c r="H440" s="13">
        <v>88047</v>
      </c>
      <c r="I440" s="13">
        <v>29976</v>
      </c>
      <c r="J440" t="s">
        <v>25</v>
      </c>
      <c r="K440" s="13">
        <f>HR_Data[[#This Row],[Salary]]+HR_Data[[#This Row],[Bonus]]</f>
        <v>118023</v>
      </c>
    </row>
    <row r="441" spans="1:11" x14ac:dyDescent="0.25">
      <c r="A441">
        <v>1440</v>
      </c>
      <c r="B441" t="s">
        <v>481</v>
      </c>
      <c r="C441" t="s">
        <v>11</v>
      </c>
      <c r="D441" t="s">
        <v>15</v>
      </c>
      <c r="E441" t="s">
        <v>18</v>
      </c>
      <c r="F441" t="s">
        <v>22</v>
      </c>
      <c r="G441">
        <v>54</v>
      </c>
      <c r="H441" s="13">
        <v>44226</v>
      </c>
      <c r="I441" s="13">
        <v>10935</v>
      </c>
      <c r="J441" t="s">
        <v>25</v>
      </c>
      <c r="K441" s="13">
        <f>HR_Data[[#This Row],[Salary]]+HR_Data[[#This Row],[Bonus]]</f>
        <v>55161</v>
      </c>
    </row>
    <row r="442" spans="1:11" x14ac:dyDescent="0.25">
      <c r="A442">
        <v>1441</v>
      </c>
      <c r="B442" t="s">
        <v>482</v>
      </c>
      <c r="C442" t="s">
        <v>2042</v>
      </c>
      <c r="D442" t="s">
        <v>15</v>
      </c>
      <c r="E442" t="s">
        <v>16</v>
      </c>
      <c r="F442" t="s">
        <v>22</v>
      </c>
      <c r="G442">
        <v>34</v>
      </c>
      <c r="H442" s="13">
        <v>45025</v>
      </c>
      <c r="I442" s="13">
        <v>22107</v>
      </c>
      <c r="J442" t="s">
        <v>25</v>
      </c>
      <c r="K442" s="13">
        <f>HR_Data[[#This Row],[Salary]]+HR_Data[[#This Row],[Bonus]]</f>
        <v>67132</v>
      </c>
    </row>
    <row r="443" spans="1:11" x14ac:dyDescent="0.25">
      <c r="A443">
        <v>1442</v>
      </c>
      <c r="B443" t="s">
        <v>483</v>
      </c>
      <c r="C443" t="s">
        <v>8</v>
      </c>
      <c r="D443" t="s">
        <v>15</v>
      </c>
      <c r="E443" t="s">
        <v>19</v>
      </c>
      <c r="F443" t="s">
        <v>21</v>
      </c>
      <c r="G443">
        <v>35</v>
      </c>
      <c r="H443" s="13">
        <v>68380</v>
      </c>
      <c r="I443" s="13">
        <v>7329</v>
      </c>
      <c r="J443" t="s">
        <v>25</v>
      </c>
      <c r="K443" s="13">
        <f>HR_Data[[#This Row],[Salary]]+HR_Data[[#This Row],[Bonus]]</f>
        <v>75709</v>
      </c>
    </row>
    <row r="444" spans="1:11" x14ac:dyDescent="0.25">
      <c r="A444">
        <v>1443</v>
      </c>
      <c r="B444" t="s">
        <v>484</v>
      </c>
      <c r="C444" t="s">
        <v>11</v>
      </c>
      <c r="D444" t="s">
        <v>15</v>
      </c>
      <c r="E444" t="s">
        <v>18</v>
      </c>
      <c r="F444" t="s">
        <v>23</v>
      </c>
      <c r="G444">
        <v>54</v>
      </c>
      <c r="H444" s="13">
        <v>27848</v>
      </c>
      <c r="I444" s="13">
        <v>14327</v>
      </c>
      <c r="J444" t="s">
        <v>25</v>
      </c>
      <c r="K444" s="13">
        <f>HR_Data[[#This Row],[Salary]]+HR_Data[[#This Row],[Bonus]]</f>
        <v>42175</v>
      </c>
    </row>
    <row r="445" spans="1:11" x14ac:dyDescent="0.25">
      <c r="A445">
        <v>1444</v>
      </c>
      <c r="B445" t="s">
        <v>485</v>
      </c>
      <c r="C445" t="s">
        <v>9</v>
      </c>
      <c r="D445" t="s">
        <v>15</v>
      </c>
      <c r="E445" t="s">
        <v>20</v>
      </c>
      <c r="F445" t="s">
        <v>22</v>
      </c>
      <c r="G445">
        <v>50</v>
      </c>
      <c r="H445" s="13">
        <v>34274</v>
      </c>
      <c r="I445" s="13">
        <v>7770</v>
      </c>
      <c r="J445" t="s">
        <v>26</v>
      </c>
      <c r="K445" s="13">
        <f>HR_Data[[#This Row],[Salary]]+HR_Data[[#This Row],[Bonus]]</f>
        <v>42044</v>
      </c>
    </row>
    <row r="446" spans="1:11" x14ac:dyDescent="0.25">
      <c r="A446">
        <v>1445</v>
      </c>
      <c r="B446" t="s">
        <v>486</v>
      </c>
      <c r="C446" t="s">
        <v>8</v>
      </c>
      <c r="D446" t="s">
        <v>15</v>
      </c>
      <c r="E446" t="s">
        <v>19</v>
      </c>
      <c r="F446" t="s">
        <v>24</v>
      </c>
      <c r="G446">
        <v>57</v>
      </c>
      <c r="H446" s="13">
        <v>74545</v>
      </c>
      <c r="I446" s="13">
        <v>28929</v>
      </c>
      <c r="J446" t="s">
        <v>25</v>
      </c>
      <c r="K446" s="13">
        <f>HR_Data[[#This Row],[Salary]]+HR_Data[[#This Row],[Bonus]]</f>
        <v>103474</v>
      </c>
    </row>
    <row r="447" spans="1:11" x14ac:dyDescent="0.25">
      <c r="A447">
        <v>1446</v>
      </c>
      <c r="B447" t="s">
        <v>487</v>
      </c>
      <c r="C447" t="s">
        <v>2042</v>
      </c>
      <c r="D447" t="s">
        <v>14</v>
      </c>
      <c r="E447" t="s">
        <v>19</v>
      </c>
      <c r="F447" t="s">
        <v>24</v>
      </c>
      <c r="G447">
        <v>31</v>
      </c>
      <c r="H447" s="13">
        <v>116494</v>
      </c>
      <c r="I447" s="13">
        <v>9846</v>
      </c>
      <c r="J447" t="s">
        <v>25</v>
      </c>
      <c r="K447" s="13">
        <f>HR_Data[[#This Row],[Salary]]+HR_Data[[#This Row],[Bonus]]</f>
        <v>126340</v>
      </c>
    </row>
    <row r="448" spans="1:11" x14ac:dyDescent="0.25">
      <c r="A448">
        <v>1447</v>
      </c>
      <c r="B448" t="s">
        <v>488</v>
      </c>
      <c r="C448" t="s">
        <v>10</v>
      </c>
      <c r="D448" t="s">
        <v>15</v>
      </c>
      <c r="E448" t="s">
        <v>19</v>
      </c>
      <c r="F448" t="s">
        <v>24</v>
      </c>
      <c r="G448">
        <v>52</v>
      </c>
      <c r="H448" s="13">
        <v>55233</v>
      </c>
      <c r="I448" s="13">
        <v>21651</v>
      </c>
      <c r="J448" t="s">
        <v>26</v>
      </c>
      <c r="K448" s="13">
        <f>HR_Data[[#This Row],[Salary]]+HR_Data[[#This Row],[Bonus]]</f>
        <v>76884</v>
      </c>
    </row>
    <row r="449" spans="1:11" x14ac:dyDescent="0.25">
      <c r="A449">
        <v>1448</v>
      </c>
      <c r="B449" t="s">
        <v>489</v>
      </c>
      <c r="C449" t="s">
        <v>8</v>
      </c>
      <c r="D449" t="s">
        <v>14</v>
      </c>
      <c r="E449" t="s">
        <v>17</v>
      </c>
      <c r="F449" t="s">
        <v>22</v>
      </c>
      <c r="G449">
        <v>27</v>
      </c>
      <c r="H449" s="13">
        <v>36304</v>
      </c>
      <c r="I449" s="13">
        <v>21276</v>
      </c>
      <c r="J449" t="s">
        <v>25</v>
      </c>
      <c r="K449" s="13">
        <f>HR_Data[[#This Row],[Salary]]+HR_Data[[#This Row],[Bonus]]</f>
        <v>57580</v>
      </c>
    </row>
    <row r="450" spans="1:11" x14ac:dyDescent="0.25">
      <c r="A450">
        <v>1449</v>
      </c>
      <c r="B450" t="s">
        <v>490</v>
      </c>
      <c r="C450" t="s">
        <v>10</v>
      </c>
      <c r="D450" t="s">
        <v>15</v>
      </c>
      <c r="E450" t="s">
        <v>19</v>
      </c>
      <c r="F450" t="s">
        <v>23</v>
      </c>
      <c r="G450">
        <v>22</v>
      </c>
      <c r="H450" s="13">
        <v>31294</v>
      </c>
      <c r="I450" s="13">
        <v>19633</v>
      </c>
      <c r="J450" t="s">
        <v>25</v>
      </c>
      <c r="K450" s="13">
        <f>HR_Data[[#This Row],[Salary]]+HR_Data[[#This Row],[Bonus]]</f>
        <v>50927</v>
      </c>
    </row>
    <row r="451" spans="1:11" x14ac:dyDescent="0.25">
      <c r="A451">
        <v>1450</v>
      </c>
      <c r="B451" t="s">
        <v>491</v>
      </c>
      <c r="C451" t="s">
        <v>11</v>
      </c>
      <c r="D451" t="s">
        <v>15</v>
      </c>
      <c r="E451" t="s">
        <v>16</v>
      </c>
      <c r="F451" t="s">
        <v>23</v>
      </c>
      <c r="G451">
        <v>28</v>
      </c>
      <c r="H451" s="13">
        <v>46425</v>
      </c>
      <c r="I451" s="13">
        <v>18628</v>
      </c>
      <c r="J451" t="s">
        <v>25</v>
      </c>
      <c r="K451" s="13">
        <f>HR_Data[[#This Row],[Salary]]+HR_Data[[#This Row],[Bonus]]</f>
        <v>65053</v>
      </c>
    </row>
    <row r="452" spans="1:11" x14ac:dyDescent="0.25">
      <c r="A452">
        <v>1451</v>
      </c>
      <c r="B452" t="s">
        <v>492</v>
      </c>
      <c r="C452" t="s">
        <v>9</v>
      </c>
      <c r="D452" t="s">
        <v>14</v>
      </c>
      <c r="E452" t="s">
        <v>19</v>
      </c>
      <c r="F452" t="s">
        <v>21</v>
      </c>
      <c r="G452">
        <v>48</v>
      </c>
      <c r="H452" s="13">
        <v>88711</v>
      </c>
      <c r="I452" s="13">
        <v>5569</v>
      </c>
      <c r="J452" t="s">
        <v>25</v>
      </c>
      <c r="K452" s="13">
        <f>HR_Data[[#This Row],[Salary]]+HR_Data[[#This Row],[Bonus]]</f>
        <v>94280</v>
      </c>
    </row>
    <row r="453" spans="1:11" x14ac:dyDescent="0.25">
      <c r="A453">
        <v>1452</v>
      </c>
      <c r="B453" t="s">
        <v>493</v>
      </c>
      <c r="C453" t="s">
        <v>12</v>
      </c>
      <c r="D453" t="s">
        <v>15</v>
      </c>
      <c r="E453" t="s">
        <v>17</v>
      </c>
      <c r="F453" t="s">
        <v>22</v>
      </c>
      <c r="G453">
        <v>42</v>
      </c>
      <c r="H453" s="13">
        <v>113311</v>
      </c>
      <c r="I453" s="13">
        <v>6973</v>
      </c>
      <c r="J453" t="s">
        <v>25</v>
      </c>
      <c r="K453" s="13">
        <f>HR_Data[[#This Row],[Salary]]+HR_Data[[#This Row],[Bonus]]</f>
        <v>120284</v>
      </c>
    </row>
    <row r="454" spans="1:11" x14ac:dyDescent="0.25">
      <c r="A454">
        <v>1453</v>
      </c>
      <c r="B454" t="s">
        <v>494</v>
      </c>
      <c r="C454" t="s">
        <v>9</v>
      </c>
      <c r="D454" t="s">
        <v>14</v>
      </c>
      <c r="E454" t="s">
        <v>19</v>
      </c>
      <c r="F454" t="s">
        <v>23</v>
      </c>
      <c r="G454">
        <v>49</v>
      </c>
      <c r="H454" s="13">
        <v>29425</v>
      </c>
      <c r="I454" s="13">
        <v>7822</v>
      </c>
      <c r="J454" t="s">
        <v>25</v>
      </c>
      <c r="K454" s="13">
        <f>HR_Data[[#This Row],[Salary]]+HR_Data[[#This Row],[Bonus]]</f>
        <v>37247</v>
      </c>
    </row>
    <row r="455" spans="1:11" x14ac:dyDescent="0.25">
      <c r="A455">
        <v>1454</v>
      </c>
      <c r="B455" t="s">
        <v>495</v>
      </c>
      <c r="C455" t="s">
        <v>8</v>
      </c>
      <c r="D455" t="s">
        <v>14</v>
      </c>
      <c r="E455" t="s">
        <v>20</v>
      </c>
      <c r="F455" t="s">
        <v>22</v>
      </c>
      <c r="G455">
        <v>37</v>
      </c>
      <c r="H455" s="13">
        <v>111549</v>
      </c>
      <c r="I455" s="13">
        <v>25844</v>
      </c>
      <c r="J455" t="s">
        <v>25</v>
      </c>
      <c r="K455" s="13">
        <f>HR_Data[[#This Row],[Salary]]+HR_Data[[#This Row],[Bonus]]</f>
        <v>137393</v>
      </c>
    </row>
    <row r="456" spans="1:11" x14ac:dyDescent="0.25">
      <c r="A456">
        <v>1455</v>
      </c>
      <c r="B456" t="s">
        <v>496</v>
      </c>
      <c r="C456" t="s">
        <v>10</v>
      </c>
      <c r="D456" t="s">
        <v>27</v>
      </c>
      <c r="E456" t="s">
        <v>20</v>
      </c>
      <c r="F456" t="s">
        <v>21</v>
      </c>
      <c r="G456">
        <v>44</v>
      </c>
      <c r="H456" s="13">
        <v>113464</v>
      </c>
      <c r="I456" s="13">
        <v>5270</v>
      </c>
      <c r="J456" t="s">
        <v>25</v>
      </c>
      <c r="K456" s="13">
        <f>HR_Data[[#This Row],[Salary]]+HR_Data[[#This Row],[Bonus]]</f>
        <v>118734</v>
      </c>
    </row>
    <row r="457" spans="1:11" x14ac:dyDescent="0.25">
      <c r="A457">
        <v>1456</v>
      </c>
      <c r="B457" t="s">
        <v>497</v>
      </c>
      <c r="C457" t="s">
        <v>10</v>
      </c>
      <c r="D457" t="s">
        <v>14</v>
      </c>
      <c r="E457" t="s">
        <v>17</v>
      </c>
      <c r="F457" t="s">
        <v>21</v>
      </c>
      <c r="G457">
        <v>41</v>
      </c>
      <c r="H457" s="13">
        <v>64990</v>
      </c>
      <c r="I457" s="13">
        <v>21320</v>
      </c>
      <c r="J457" t="s">
        <v>26</v>
      </c>
      <c r="K457" s="13">
        <f>HR_Data[[#This Row],[Salary]]+HR_Data[[#This Row],[Bonus]]</f>
        <v>86310</v>
      </c>
    </row>
    <row r="458" spans="1:11" x14ac:dyDescent="0.25">
      <c r="A458">
        <v>1457</v>
      </c>
      <c r="B458" t="s">
        <v>498</v>
      </c>
      <c r="C458" t="s">
        <v>2042</v>
      </c>
      <c r="D458" t="s">
        <v>15</v>
      </c>
      <c r="E458" t="s">
        <v>16</v>
      </c>
      <c r="F458" t="s">
        <v>21</v>
      </c>
      <c r="G458">
        <v>59</v>
      </c>
      <c r="H458" s="13">
        <v>69554.53</v>
      </c>
      <c r="I458" s="13">
        <v>12641</v>
      </c>
      <c r="J458" t="s">
        <v>25</v>
      </c>
      <c r="K458" s="13">
        <f>HR_Data[[#This Row],[Salary]]+HR_Data[[#This Row],[Bonus]]</f>
        <v>82195.53</v>
      </c>
    </row>
    <row r="459" spans="1:11" x14ac:dyDescent="0.25">
      <c r="A459">
        <v>1458</v>
      </c>
      <c r="B459" t="s">
        <v>499</v>
      </c>
      <c r="C459" t="s">
        <v>10</v>
      </c>
      <c r="D459" t="s">
        <v>15</v>
      </c>
      <c r="E459" t="s">
        <v>16</v>
      </c>
      <c r="F459" t="s">
        <v>24</v>
      </c>
      <c r="G459">
        <v>46</v>
      </c>
      <c r="H459" s="13">
        <v>88295</v>
      </c>
      <c r="I459" s="13">
        <v>13930</v>
      </c>
      <c r="J459" t="s">
        <v>25</v>
      </c>
      <c r="K459" s="13">
        <f>HR_Data[[#This Row],[Salary]]+HR_Data[[#This Row],[Bonus]]</f>
        <v>102225</v>
      </c>
    </row>
    <row r="460" spans="1:11" x14ac:dyDescent="0.25">
      <c r="A460">
        <v>1459</v>
      </c>
      <c r="B460" t="s">
        <v>500</v>
      </c>
      <c r="C460" t="s">
        <v>2042</v>
      </c>
      <c r="D460" t="s">
        <v>14</v>
      </c>
      <c r="E460" t="s">
        <v>18</v>
      </c>
      <c r="F460" t="s">
        <v>22</v>
      </c>
      <c r="G460">
        <v>49</v>
      </c>
      <c r="H460" s="13">
        <v>36091</v>
      </c>
      <c r="I460" s="13">
        <v>11680</v>
      </c>
      <c r="J460" t="s">
        <v>25</v>
      </c>
      <c r="K460" s="13">
        <f>HR_Data[[#This Row],[Salary]]+HR_Data[[#This Row],[Bonus]]</f>
        <v>47771</v>
      </c>
    </row>
    <row r="461" spans="1:11" x14ac:dyDescent="0.25">
      <c r="A461">
        <v>1460</v>
      </c>
      <c r="B461" t="s">
        <v>501</v>
      </c>
      <c r="C461" t="s">
        <v>11</v>
      </c>
      <c r="D461" t="s">
        <v>15</v>
      </c>
      <c r="E461" t="s">
        <v>17</v>
      </c>
      <c r="F461" t="s">
        <v>21</v>
      </c>
      <c r="G461">
        <v>26</v>
      </c>
      <c r="H461" s="13">
        <v>20002</v>
      </c>
      <c r="I461" s="13">
        <v>6257</v>
      </c>
      <c r="J461" t="s">
        <v>26</v>
      </c>
      <c r="K461" s="13">
        <f>HR_Data[[#This Row],[Salary]]+HR_Data[[#This Row],[Bonus]]</f>
        <v>26259</v>
      </c>
    </row>
    <row r="462" spans="1:11" x14ac:dyDescent="0.25">
      <c r="A462">
        <v>1461</v>
      </c>
      <c r="B462" t="s">
        <v>502</v>
      </c>
      <c r="C462" t="s">
        <v>12</v>
      </c>
      <c r="D462" t="s">
        <v>15</v>
      </c>
      <c r="E462" t="s">
        <v>19</v>
      </c>
      <c r="F462" t="s">
        <v>22</v>
      </c>
      <c r="G462">
        <v>42</v>
      </c>
      <c r="H462" s="13">
        <v>70411</v>
      </c>
      <c r="I462" s="13">
        <v>13250</v>
      </c>
      <c r="J462" t="s">
        <v>25</v>
      </c>
      <c r="K462" s="13">
        <f>HR_Data[[#This Row],[Salary]]+HR_Data[[#This Row],[Bonus]]</f>
        <v>83661</v>
      </c>
    </row>
    <row r="463" spans="1:11" x14ac:dyDescent="0.25">
      <c r="A463">
        <v>1462</v>
      </c>
      <c r="B463" t="s">
        <v>503</v>
      </c>
      <c r="C463" t="s">
        <v>8</v>
      </c>
      <c r="D463" t="s">
        <v>14</v>
      </c>
      <c r="E463" t="s">
        <v>17</v>
      </c>
      <c r="F463" t="s">
        <v>24</v>
      </c>
      <c r="G463">
        <v>39</v>
      </c>
      <c r="H463" s="13">
        <v>60958</v>
      </c>
      <c r="I463" s="13">
        <v>10370</v>
      </c>
      <c r="J463" t="s">
        <v>26</v>
      </c>
      <c r="K463" s="13">
        <f>HR_Data[[#This Row],[Salary]]+HR_Data[[#This Row],[Bonus]]</f>
        <v>71328</v>
      </c>
    </row>
    <row r="464" spans="1:11" x14ac:dyDescent="0.25">
      <c r="A464">
        <v>1463</v>
      </c>
      <c r="B464" t="s">
        <v>504</v>
      </c>
      <c r="C464" t="s">
        <v>2042</v>
      </c>
      <c r="D464" t="s">
        <v>15</v>
      </c>
      <c r="E464" t="s">
        <v>18</v>
      </c>
      <c r="F464" t="s">
        <v>24</v>
      </c>
      <c r="G464">
        <v>27</v>
      </c>
      <c r="H464" s="13">
        <v>115696</v>
      </c>
      <c r="I464" s="13">
        <v>9858</v>
      </c>
      <c r="J464" t="s">
        <v>25</v>
      </c>
      <c r="K464" s="13">
        <f>HR_Data[[#This Row],[Salary]]+HR_Data[[#This Row],[Bonus]]</f>
        <v>125554</v>
      </c>
    </row>
    <row r="465" spans="1:11" x14ac:dyDescent="0.25">
      <c r="A465">
        <v>1464</v>
      </c>
      <c r="B465" t="s">
        <v>505</v>
      </c>
      <c r="C465" t="s">
        <v>12</v>
      </c>
      <c r="D465" t="s">
        <v>14</v>
      </c>
      <c r="E465" t="s">
        <v>17</v>
      </c>
      <c r="F465" t="s">
        <v>21</v>
      </c>
      <c r="G465">
        <v>50</v>
      </c>
      <c r="H465" s="13">
        <v>40707</v>
      </c>
      <c r="I465" s="13">
        <v>13581</v>
      </c>
      <c r="J465" t="s">
        <v>26</v>
      </c>
      <c r="K465" s="13">
        <f>HR_Data[[#This Row],[Salary]]+HR_Data[[#This Row],[Bonus]]</f>
        <v>54288</v>
      </c>
    </row>
    <row r="466" spans="1:11" x14ac:dyDescent="0.25">
      <c r="A466">
        <v>1465</v>
      </c>
      <c r="B466" t="s">
        <v>506</v>
      </c>
      <c r="C466" t="s">
        <v>10</v>
      </c>
      <c r="D466" t="s">
        <v>14</v>
      </c>
      <c r="E466" t="s">
        <v>17</v>
      </c>
      <c r="F466" t="s">
        <v>21</v>
      </c>
      <c r="G466">
        <v>40</v>
      </c>
      <c r="H466" s="13">
        <v>35248</v>
      </c>
      <c r="I466" s="13">
        <v>18491</v>
      </c>
      <c r="J466" t="s">
        <v>25</v>
      </c>
      <c r="K466" s="13">
        <f>HR_Data[[#This Row],[Salary]]+HR_Data[[#This Row],[Bonus]]</f>
        <v>53739</v>
      </c>
    </row>
    <row r="467" spans="1:11" x14ac:dyDescent="0.25">
      <c r="A467">
        <v>1466</v>
      </c>
      <c r="B467" t="s">
        <v>507</v>
      </c>
      <c r="C467" t="s">
        <v>10</v>
      </c>
      <c r="D467" t="s">
        <v>15</v>
      </c>
      <c r="E467" t="s">
        <v>18</v>
      </c>
      <c r="F467" t="s">
        <v>23</v>
      </c>
      <c r="G467">
        <v>54</v>
      </c>
      <c r="H467" s="13">
        <v>69554.53</v>
      </c>
      <c r="I467" s="13">
        <v>28383</v>
      </c>
      <c r="J467" t="s">
        <v>25</v>
      </c>
      <c r="K467" s="13">
        <f>HR_Data[[#This Row],[Salary]]+HR_Data[[#This Row],[Bonus]]</f>
        <v>97937.53</v>
      </c>
    </row>
    <row r="468" spans="1:11" x14ac:dyDescent="0.25">
      <c r="A468">
        <v>1467</v>
      </c>
      <c r="B468" t="s">
        <v>508</v>
      </c>
      <c r="C468" t="s">
        <v>12</v>
      </c>
      <c r="D468" t="s">
        <v>15</v>
      </c>
      <c r="E468" t="s">
        <v>16</v>
      </c>
      <c r="F468" t="s">
        <v>22</v>
      </c>
      <c r="G468">
        <v>22</v>
      </c>
      <c r="H468" s="13">
        <v>98322</v>
      </c>
      <c r="I468" s="13">
        <v>17436</v>
      </c>
      <c r="J468" t="s">
        <v>26</v>
      </c>
      <c r="K468" s="13">
        <f>HR_Data[[#This Row],[Salary]]+HR_Data[[#This Row],[Bonus]]</f>
        <v>115758</v>
      </c>
    </row>
    <row r="469" spans="1:11" x14ac:dyDescent="0.25">
      <c r="A469">
        <v>1468</v>
      </c>
      <c r="B469" t="s">
        <v>509</v>
      </c>
      <c r="C469" t="s">
        <v>10</v>
      </c>
      <c r="D469" t="s">
        <v>15</v>
      </c>
      <c r="E469" t="s">
        <v>19</v>
      </c>
      <c r="F469" t="s">
        <v>21</v>
      </c>
      <c r="G469">
        <v>24</v>
      </c>
      <c r="H469" s="13">
        <v>71720</v>
      </c>
      <c r="I469" s="13">
        <v>17870</v>
      </c>
      <c r="J469" t="s">
        <v>25</v>
      </c>
      <c r="K469" s="13">
        <f>HR_Data[[#This Row],[Salary]]+HR_Data[[#This Row],[Bonus]]</f>
        <v>89590</v>
      </c>
    </row>
    <row r="470" spans="1:11" x14ac:dyDescent="0.25">
      <c r="A470">
        <v>1469</v>
      </c>
      <c r="B470" t="s">
        <v>510</v>
      </c>
      <c r="C470" t="s">
        <v>11</v>
      </c>
      <c r="D470" t="s">
        <v>14</v>
      </c>
      <c r="E470" t="s">
        <v>18</v>
      </c>
      <c r="F470" t="s">
        <v>23</v>
      </c>
      <c r="G470">
        <v>42</v>
      </c>
      <c r="H470" s="13">
        <v>35037</v>
      </c>
      <c r="I470" s="13">
        <v>21504</v>
      </c>
      <c r="J470" t="s">
        <v>25</v>
      </c>
      <c r="K470" s="13">
        <f>HR_Data[[#This Row],[Salary]]+HR_Data[[#This Row],[Bonus]]</f>
        <v>56541</v>
      </c>
    </row>
    <row r="471" spans="1:11" x14ac:dyDescent="0.25">
      <c r="A471">
        <v>1470</v>
      </c>
      <c r="B471" t="s">
        <v>511</v>
      </c>
      <c r="C471" t="s">
        <v>11</v>
      </c>
      <c r="D471" t="s">
        <v>14</v>
      </c>
      <c r="E471" t="s">
        <v>20</v>
      </c>
      <c r="F471" t="s">
        <v>22</v>
      </c>
      <c r="G471">
        <v>56</v>
      </c>
      <c r="H471" s="13">
        <v>87421</v>
      </c>
      <c r="I471" s="13">
        <v>11908</v>
      </c>
      <c r="J471" t="s">
        <v>25</v>
      </c>
      <c r="K471" s="13">
        <f>HR_Data[[#This Row],[Salary]]+HR_Data[[#This Row],[Bonus]]</f>
        <v>99329</v>
      </c>
    </row>
    <row r="472" spans="1:11" x14ac:dyDescent="0.25">
      <c r="A472">
        <v>1471</v>
      </c>
      <c r="B472" t="s">
        <v>512</v>
      </c>
      <c r="C472" t="s">
        <v>12</v>
      </c>
      <c r="D472" t="s">
        <v>27</v>
      </c>
      <c r="E472" t="s">
        <v>16</v>
      </c>
      <c r="F472" t="s">
        <v>21</v>
      </c>
      <c r="G472">
        <v>24</v>
      </c>
      <c r="H472" s="13">
        <v>101867</v>
      </c>
      <c r="I472" s="13">
        <v>15844</v>
      </c>
      <c r="J472" t="s">
        <v>26</v>
      </c>
      <c r="K472" s="13">
        <f>HR_Data[[#This Row],[Salary]]+HR_Data[[#This Row],[Bonus]]</f>
        <v>117711</v>
      </c>
    </row>
    <row r="473" spans="1:11" x14ac:dyDescent="0.25">
      <c r="A473">
        <v>1472</v>
      </c>
      <c r="B473" t="s">
        <v>513</v>
      </c>
      <c r="C473" t="s">
        <v>2042</v>
      </c>
      <c r="D473" t="s">
        <v>15</v>
      </c>
      <c r="E473" t="s">
        <v>20</v>
      </c>
      <c r="F473" t="s">
        <v>23</v>
      </c>
      <c r="G473">
        <v>46</v>
      </c>
      <c r="H473" s="13">
        <v>60612</v>
      </c>
      <c r="I473" s="13">
        <v>23687</v>
      </c>
      <c r="J473" t="s">
        <v>25</v>
      </c>
      <c r="K473" s="13">
        <f>HR_Data[[#This Row],[Salary]]+HR_Data[[#This Row],[Bonus]]</f>
        <v>84299</v>
      </c>
    </row>
    <row r="474" spans="1:11" x14ac:dyDescent="0.25">
      <c r="A474">
        <v>1473</v>
      </c>
      <c r="B474" t="s">
        <v>514</v>
      </c>
      <c r="C474" t="s">
        <v>2042</v>
      </c>
      <c r="D474" t="s">
        <v>15</v>
      </c>
      <c r="E474" t="s">
        <v>16</v>
      </c>
      <c r="F474" t="s">
        <v>23</v>
      </c>
      <c r="G474">
        <v>59</v>
      </c>
      <c r="H474" s="13">
        <v>108031</v>
      </c>
      <c r="I474" s="13">
        <v>9861</v>
      </c>
      <c r="J474" t="s">
        <v>25</v>
      </c>
      <c r="K474" s="13">
        <f>HR_Data[[#This Row],[Salary]]+HR_Data[[#This Row],[Bonus]]</f>
        <v>117892</v>
      </c>
    </row>
    <row r="475" spans="1:11" x14ac:dyDescent="0.25">
      <c r="A475">
        <v>1474</v>
      </c>
      <c r="B475" t="s">
        <v>515</v>
      </c>
      <c r="C475" t="s">
        <v>12</v>
      </c>
      <c r="D475" t="s">
        <v>15</v>
      </c>
      <c r="E475" t="s">
        <v>19</v>
      </c>
      <c r="F475" t="s">
        <v>22</v>
      </c>
      <c r="G475">
        <v>41</v>
      </c>
      <c r="H475" s="13">
        <v>33450</v>
      </c>
      <c r="I475" s="13">
        <v>7911</v>
      </c>
      <c r="J475" t="s">
        <v>25</v>
      </c>
      <c r="K475" s="13">
        <f>HR_Data[[#This Row],[Salary]]+HR_Data[[#This Row],[Bonus]]</f>
        <v>41361</v>
      </c>
    </row>
    <row r="476" spans="1:11" x14ac:dyDescent="0.25">
      <c r="A476">
        <v>1475</v>
      </c>
      <c r="B476" t="s">
        <v>516</v>
      </c>
      <c r="C476" t="s">
        <v>2042</v>
      </c>
      <c r="D476" t="s">
        <v>14</v>
      </c>
      <c r="E476" t="s">
        <v>19</v>
      </c>
      <c r="F476" t="s">
        <v>23</v>
      </c>
      <c r="G476">
        <v>55</v>
      </c>
      <c r="H476" s="13">
        <v>29491</v>
      </c>
      <c r="I476" s="13">
        <v>13991</v>
      </c>
      <c r="J476" t="s">
        <v>26</v>
      </c>
      <c r="K476" s="13">
        <f>HR_Data[[#This Row],[Salary]]+HR_Data[[#This Row],[Bonus]]</f>
        <v>43482</v>
      </c>
    </row>
    <row r="477" spans="1:11" x14ac:dyDescent="0.25">
      <c r="A477">
        <v>1476</v>
      </c>
      <c r="B477" t="s">
        <v>517</v>
      </c>
      <c r="C477" t="s">
        <v>2042</v>
      </c>
      <c r="D477" t="s">
        <v>15</v>
      </c>
      <c r="E477" t="s">
        <v>17</v>
      </c>
      <c r="F477" t="s">
        <v>22</v>
      </c>
      <c r="G477">
        <v>42</v>
      </c>
      <c r="H477" s="13">
        <v>94804</v>
      </c>
      <c r="I477" s="13">
        <v>16572</v>
      </c>
      <c r="J477" t="s">
        <v>25</v>
      </c>
      <c r="K477" s="13">
        <f>HR_Data[[#This Row],[Salary]]+HR_Data[[#This Row],[Bonus]]</f>
        <v>111376</v>
      </c>
    </row>
    <row r="478" spans="1:11" x14ac:dyDescent="0.25">
      <c r="A478">
        <v>1477</v>
      </c>
      <c r="B478" t="s">
        <v>518</v>
      </c>
      <c r="C478" t="s">
        <v>11</v>
      </c>
      <c r="D478" t="s">
        <v>14</v>
      </c>
      <c r="E478" t="s">
        <v>20</v>
      </c>
      <c r="F478" t="s">
        <v>22</v>
      </c>
      <c r="G478">
        <v>44</v>
      </c>
      <c r="H478" s="13">
        <v>113293</v>
      </c>
      <c r="I478" s="13">
        <v>15298</v>
      </c>
      <c r="J478" t="s">
        <v>25</v>
      </c>
      <c r="K478" s="13">
        <f>HR_Data[[#This Row],[Salary]]+HR_Data[[#This Row],[Bonus]]</f>
        <v>128591</v>
      </c>
    </row>
    <row r="479" spans="1:11" x14ac:dyDescent="0.25">
      <c r="A479">
        <v>1478</v>
      </c>
      <c r="B479" t="s">
        <v>519</v>
      </c>
      <c r="C479" t="s">
        <v>2042</v>
      </c>
      <c r="D479" t="s">
        <v>14</v>
      </c>
      <c r="E479" t="s">
        <v>16</v>
      </c>
      <c r="F479" t="s">
        <v>22</v>
      </c>
      <c r="G479">
        <v>27</v>
      </c>
      <c r="H479" s="13">
        <v>26791</v>
      </c>
      <c r="I479" s="13">
        <v>12236</v>
      </c>
      <c r="J479" t="s">
        <v>25</v>
      </c>
      <c r="K479" s="13">
        <f>HR_Data[[#This Row],[Salary]]+HR_Data[[#This Row],[Bonus]]</f>
        <v>39027</v>
      </c>
    </row>
    <row r="480" spans="1:11" x14ac:dyDescent="0.25">
      <c r="A480">
        <v>1479</v>
      </c>
      <c r="B480" t="s">
        <v>520</v>
      </c>
      <c r="C480" t="s">
        <v>9</v>
      </c>
      <c r="D480" t="s">
        <v>15</v>
      </c>
      <c r="E480" t="s">
        <v>19</v>
      </c>
      <c r="F480" t="s">
        <v>24</v>
      </c>
      <c r="G480">
        <v>34</v>
      </c>
      <c r="H480" s="13">
        <v>48314</v>
      </c>
      <c r="I480" s="13">
        <v>10565</v>
      </c>
      <c r="J480" t="s">
        <v>25</v>
      </c>
      <c r="K480" s="13">
        <f>HR_Data[[#This Row],[Salary]]+HR_Data[[#This Row],[Bonus]]</f>
        <v>58879</v>
      </c>
    </row>
    <row r="481" spans="1:11" x14ac:dyDescent="0.25">
      <c r="A481">
        <v>1480</v>
      </c>
      <c r="B481" t="s">
        <v>521</v>
      </c>
      <c r="C481" t="s">
        <v>8</v>
      </c>
      <c r="D481" t="s">
        <v>15</v>
      </c>
      <c r="E481" t="s">
        <v>18</v>
      </c>
      <c r="F481" t="s">
        <v>23</v>
      </c>
      <c r="G481">
        <v>44</v>
      </c>
      <c r="H481" s="13">
        <v>71883</v>
      </c>
      <c r="I481" s="13">
        <v>27915</v>
      </c>
      <c r="J481" t="s">
        <v>25</v>
      </c>
      <c r="K481" s="13">
        <f>HR_Data[[#This Row],[Salary]]+HR_Data[[#This Row],[Bonus]]</f>
        <v>99798</v>
      </c>
    </row>
    <row r="482" spans="1:11" x14ac:dyDescent="0.25">
      <c r="A482">
        <v>1481</v>
      </c>
      <c r="B482" t="s">
        <v>522</v>
      </c>
      <c r="C482" t="s">
        <v>10</v>
      </c>
      <c r="D482" t="s">
        <v>27</v>
      </c>
      <c r="E482" t="s">
        <v>19</v>
      </c>
      <c r="F482" t="s">
        <v>22</v>
      </c>
      <c r="G482">
        <v>30</v>
      </c>
      <c r="H482" s="13">
        <v>114119</v>
      </c>
      <c r="I482" s="13">
        <v>22493</v>
      </c>
      <c r="J482" t="s">
        <v>25</v>
      </c>
      <c r="K482" s="13">
        <f>HR_Data[[#This Row],[Salary]]+HR_Data[[#This Row],[Bonus]]</f>
        <v>136612</v>
      </c>
    </row>
    <row r="483" spans="1:11" x14ac:dyDescent="0.25">
      <c r="A483">
        <v>1482</v>
      </c>
      <c r="B483" t="s">
        <v>523</v>
      </c>
      <c r="C483" t="s">
        <v>9</v>
      </c>
      <c r="D483" t="s">
        <v>14</v>
      </c>
      <c r="E483" t="s">
        <v>18</v>
      </c>
      <c r="F483" t="s">
        <v>21</v>
      </c>
      <c r="G483">
        <v>38</v>
      </c>
      <c r="H483" s="13">
        <v>107086</v>
      </c>
      <c r="I483" s="13">
        <v>11929</v>
      </c>
      <c r="J483" t="s">
        <v>25</v>
      </c>
      <c r="K483" s="13">
        <f>HR_Data[[#This Row],[Salary]]+HR_Data[[#This Row],[Bonus]]</f>
        <v>119015</v>
      </c>
    </row>
    <row r="484" spans="1:11" x14ac:dyDescent="0.25">
      <c r="A484">
        <v>1483</v>
      </c>
      <c r="B484" t="s">
        <v>524</v>
      </c>
      <c r="C484" t="s">
        <v>2042</v>
      </c>
      <c r="D484" t="s">
        <v>15</v>
      </c>
      <c r="E484" t="s">
        <v>16</v>
      </c>
      <c r="F484" t="s">
        <v>24</v>
      </c>
      <c r="G484">
        <v>23</v>
      </c>
      <c r="H484" s="13">
        <v>85629</v>
      </c>
      <c r="I484" s="13">
        <v>22634</v>
      </c>
      <c r="J484" t="s">
        <v>25</v>
      </c>
      <c r="K484" s="13">
        <f>HR_Data[[#This Row],[Salary]]+HR_Data[[#This Row],[Bonus]]</f>
        <v>108263</v>
      </c>
    </row>
    <row r="485" spans="1:11" x14ac:dyDescent="0.25">
      <c r="A485">
        <v>1484</v>
      </c>
      <c r="B485" t="s">
        <v>525</v>
      </c>
      <c r="C485" t="s">
        <v>11</v>
      </c>
      <c r="D485" t="s">
        <v>15</v>
      </c>
      <c r="E485" t="s">
        <v>19</v>
      </c>
      <c r="F485" t="s">
        <v>24</v>
      </c>
      <c r="G485">
        <v>40</v>
      </c>
      <c r="H485" s="13">
        <v>29967</v>
      </c>
      <c r="I485" s="13">
        <v>29561</v>
      </c>
      <c r="J485" t="s">
        <v>25</v>
      </c>
      <c r="K485" s="13">
        <f>HR_Data[[#This Row],[Salary]]+HR_Data[[#This Row],[Bonus]]</f>
        <v>59528</v>
      </c>
    </row>
    <row r="486" spans="1:11" x14ac:dyDescent="0.25">
      <c r="A486">
        <v>1485</v>
      </c>
      <c r="B486" t="s">
        <v>526</v>
      </c>
      <c r="C486" t="s">
        <v>12</v>
      </c>
      <c r="D486" t="s">
        <v>14</v>
      </c>
      <c r="E486" t="s">
        <v>19</v>
      </c>
      <c r="F486" t="s">
        <v>23</v>
      </c>
      <c r="G486">
        <v>40</v>
      </c>
      <c r="H486" s="13">
        <v>101754</v>
      </c>
      <c r="I486" s="13">
        <v>23033</v>
      </c>
      <c r="J486" t="s">
        <v>25</v>
      </c>
      <c r="K486" s="13">
        <f>HR_Data[[#This Row],[Salary]]+HR_Data[[#This Row],[Bonus]]</f>
        <v>124787</v>
      </c>
    </row>
    <row r="487" spans="1:11" x14ac:dyDescent="0.25">
      <c r="A487">
        <v>1486</v>
      </c>
      <c r="B487" t="s">
        <v>527</v>
      </c>
      <c r="C487" t="s">
        <v>2042</v>
      </c>
      <c r="D487" t="s">
        <v>15</v>
      </c>
      <c r="E487" t="s">
        <v>16</v>
      </c>
      <c r="F487" t="s">
        <v>22</v>
      </c>
      <c r="G487">
        <v>28</v>
      </c>
      <c r="H487" s="13">
        <v>69554.53</v>
      </c>
      <c r="I487" s="13">
        <v>12351</v>
      </c>
      <c r="J487" t="s">
        <v>25</v>
      </c>
      <c r="K487" s="13">
        <f>HR_Data[[#This Row],[Salary]]+HR_Data[[#This Row],[Bonus]]</f>
        <v>81905.53</v>
      </c>
    </row>
    <row r="488" spans="1:11" x14ac:dyDescent="0.25">
      <c r="A488">
        <v>1487</v>
      </c>
      <c r="B488" t="s">
        <v>528</v>
      </c>
      <c r="C488" t="s">
        <v>11</v>
      </c>
      <c r="D488" t="s">
        <v>14</v>
      </c>
      <c r="E488" t="s">
        <v>19</v>
      </c>
      <c r="F488" t="s">
        <v>23</v>
      </c>
      <c r="G488">
        <v>41</v>
      </c>
      <c r="H488" s="13">
        <v>94163</v>
      </c>
      <c r="I488" s="13">
        <v>27295</v>
      </c>
      <c r="J488" t="s">
        <v>25</v>
      </c>
      <c r="K488" s="13">
        <f>HR_Data[[#This Row],[Salary]]+HR_Data[[#This Row],[Bonus]]</f>
        <v>121458</v>
      </c>
    </row>
    <row r="489" spans="1:11" x14ac:dyDescent="0.25">
      <c r="A489">
        <v>1488</v>
      </c>
      <c r="B489" t="s">
        <v>529</v>
      </c>
      <c r="C489" t="s">
        <v>27</v>
      </c>
      <c r="D489" t="s">
        <v>15</v>
      </c>
      <c r="E489" t="s">
        <v>18</v>
      </c>
      <c r="F489" t="s">
        <v>24</v>
      </c>
      <c r="G489">
        <v>30</v>
      </c>
      <c r="H489" s="13">
        <v>24947</v>
      </c>
      <c r="I489" s="13">
        <v>24340</v>
      </c>
      <c r="J489" t="s">
        <v>27</v>
      </c>
      <c r="K489" s="13">
        <f>HR_Data[[#This Row],[Salary]]+HR_Data[[#This Row],[Bonus]]</f>
        <v>49287</v>
      </c>
    </row>
    <row r="490" spans="1:11" x14ac:dyDescent="0.25">
      <c r="A490">
        <v>1489</v>
      </c>
      <c r="B490" t="s">
        <v>530</v>
      </c>
      <c r="C490" t="s">
        <v>2042</v>
      </c>
      <c r="D490" t="s">
        <v>14</v>
      </c>
      <c r="E490" t="s">
        <v>19</v>
      </c>
      <c r="F490" t="s">
        <v>22</v>
      </c>
      <c r="G490">
        <v>38</v>
      </c>
      <c r="H490" s="13">
        <v>59419</v>
      </c>
      <c r="I490" s="13">
        <v>19901</v>
      </c>
      <c r="J490" t="s">
        <v>25</v>
      </c>
      <c r="K490" s="13">
        <f>HR_Data[[#This Row],[Salary]]+HR_Data[[#This Row],[Bonus]]</f>
        <v>79320</v>
      </c>
    </row>
    <row r="491" spans="1:11" x14ac:dyDescent="0.25">
      <c r="A491">
        <v>1490</v>
      </c>
      <c r="B491" t="s">
        <v>531</v>
      </c>
      <c r="C491" t="s">
        <v>12</v>
      </c>
      <c r="D491" t="s">
        <v>15</v>
      </c>
      <c r="E491" t="s">
        <v>20</v>
      </c>
      <c r="F491" t="s">
        <v>21</v>
      </c>
      <c r="G491">
        <v>48</v>
      </c>
      <c r="H491" s="13">
        <v>76131</v>
      </c>
      <c r="I491" s="13">
        <v>15638</v>
      </c>
      <c r="J491" t="s">
        <v>25</v>
      </c>
      <c r="K491" s="13">
        <f>HR_Data[[#This Row],[Salary]]+HR_Data[[#This Row],[Bonus]]</f>
        <v>91769</v>
      </c>
    </row>
    <row r="492" spans="1:11" x14ac:dyDescent="0.25">
      <c r="A492">
        <v>1491</v>
      </c>
      <c r="B492" t="s">
        <v>532</v>
      </c>
      <c r="C492" t="s">
        <v>11</v>
      </c>
      <c r="D492" t="s">
        <v>15</v>
      </c>
      <c r="E492" t="s">
        <v>17</v>
      </c>
      <c r="F492" t="s">
        <v>22</v>
      </c>
      <c r="G492">
        <v>23</v>
      </c>
      <c r="H492" s="13">
        <v>108714</v>
      </c>
      <c r="I492" s="13">
        <v>10828</v>
      </c>
      <c r="J492" t="s">
        <v>25</v>
      </c>
      <c r="K492" s="13">
        <f>HR_Data[[#This Row],[Salary]]+HR_Data[[#This Row],[Bonus]]</f>
        <v>119542</v>
      </c>
    </row>
    <row r="493" spans="1:11" x14ac:dyDescent="0.25">
      <c r="A493">
        <v>1492</v>
      </c>
      <c r="B493" t="s">
        <v>533</v>
      </c>
      <c r="C493" t="s">
        <v>11</v>
      </c>
      <c r="D493" t="s">
        <v>14</v>
      </c>
      <c r="E493" t="s">
        <v>18</v>
      </c>
      <c r="F493" t="s">
        <v>24</v>
      </c>
      <c r="G493">
        <v>57</v>
      </c>
      <c r="H493" s="13">
        <v>48876</v>
      </c>
      <c r="I493" s="13">
        <v>26378</v>
      </c>
      <c r="J493" t="s">
        <v>25</v>
      </c>
      <c r="K493" s="13">
        <f>HR_Data[[#This Row],[Salary]]+HR_Data[[#This Row],[Bonus]]</f>
        <v>75254</v>
      </c>
    </row>
    <row r="494" spans="1:11" x14ac:dyDescent="0.25">
      <c r="A494">
        <v>1493</v>
      </c>
      <c r="B494" t="s">
        <v>534</v>
      </c>
      <c r="C494" t="s">
        <v>11</v>
      </c>
      <c r="D494" t="s">
        <v>14</v>
      </c>
      <c r="E494" t="s">
        <v>20</v>
      </c>
      <c r="F494" t="s">
        <v>21</v>
      </c>
      <c r="G494">
        <v>40</v>
      </c>
      <c r="H494" s="13">
        <v>108444</v>
      </c>
      <c r="I494" s="13">
        <v>16556</v>
      </c>
      <c r="J494" t="s">
        <v>25</v>
      </c>
      <c r="K494" s="13">
        <f>HR_Data[[#This Row],[Salary]]+HR_Data[[#This Row],[Bonus]]</f>
        <v>125000</v>
      </c>
    </row>
    <row r="495" spans="1:11" x14ac:dyDescent="0.25">
      <c r="A495">
        <v>1494</v>
      </c>
      <c r="B495" t="s">
        <v>535</v>
      </c>
      <c r="C495" t="s">
        <v>8</v>
      </c>
      <c r="D495" t="s">
        <v>15</v>
      </c>
      <c r="E495" t="s">
        <v>16</v>
      </c>
      <c r="F495" t="s">
        <v>22</v>
      </c>
      <c r="G495">
        <v>38</v>
      </c>
      <c r="H495" s="13">
        <v>39971</v>
      </c>
      <c r="I495" s="13">
        <v>27820</v>
      </c>
      <c r="J495" t="s">
        <v>25</v>
      </c>
      <c r="K495" s="13">
        <f>HR_Data[[#This Row],[Salary]]+HR_Data[[#This Row],[Bonus]]</f>
        <v>67791</v>
      </c>
    </row>
    <row r="496" spans="1:11" x14ac:dyDescent="0.25">
      <c r="A496">
        <v>1495</v>
      </c>
      <c r="B496" t="s">
        <v>536</v>
      </c>
      <c r="C496" t="s">
        <v>2042</v>
      </c>
      <c r="D496" t="s">
        <v>14</v>
      </c>
      <c r="E496" t="s">
        <v>18</v>
      </c>
      <c r="F496" t="s">
        <v>21</v>
      </c>
      <c r="G496">
        <v>26</v>
      </c>
      <c r="H496" s="13">
        <v>82539</v>
      </c>
      <c r="I496" s="13">
        <v>28998</v>
      </c>
      <c r="J496" t="s">
        <v>25</v>
      </c>
      <c r="K496" s="13">
        <f>HR_Data[[#This Row],[Salary]]+HR_Data[[#This Row],[Bonus]]</f>
        <v>111537</v>
      </c>
    </row>
    <row r="497" spans="1:11" x14ac:dyDescent="0.25">
      <c r="A497">
        <v>1496</v>
      </c>
      <c r="B497" t="s">
        <v>537</v>
      </c>
      <c r="C497" t="s">
        <v>8</v>
      </c>
      <c r="D497" t="s">
        <v>14</v>
      </c>
      <c r="E497" t="s">
        <v>17</v>
      </c>
      <c r="F497" t="s">
        <v>21</v>
      </c>
      <c r="G497">
        <v>39</v>
      </c>
      <c r="H497" s="13">
        <v>118120</v>
      </c>
      <c r="I497" s="13">
        <v>23099</v>
      </c>
      <c r="J497" t="s">
        <v>25</v>
      </c>
      <c r="K497" s="13">
        <f>HR_Data[[#This Row],[Salary]]+HR_Data[[#This Row],[Bonus]]</f>
        <v>141219</v>
      </c>
    </row>
    <row r="498" spans="1:11" x14ac:dyDescent="0.25">
      <c r="A498">
        <v>1497</v>
      </c>
      <c r="B498" t="s">
        <v>538</v>
      </c>
      <c r="C498" t="s">
        <v>10</v>
      </c>
      <c r="D498" t="s">
        <v>27</v>
      </c>
      <c r="E498" t="s">
        <v>17</v>
      </c>
      <c r="F498" t="s">
        <v>24</v>
      </c>
      <c r="G498">
        <v>28</v>
      </c>
      <c r="H498" s="13">
        <v>69228</v>
      </c>
      <c r="I498" s="13">
        <v>13150</v>
      </c>
      <c r="J498" t="s">
        <v>25</v>
      </c>
      <c r="K498" s="13">
        <f>HR_Data[[#This Row],[Salary]]+HR_Data[[#This Row],[Bonus]]</f>
        <v>82378</v>
      </c>
    </row>
    <row r="499" spans="1:11" x14ac:dyDescent="0.25">
      <c r="A499">
        <v>1498</v>
      </c>
      <c r="B499" t="s">
        <v>539</v>
      </c>
      <c r="C499" t="s">
        <v>27</v>
      </c>
      <c r="D499" t="s">
        <v>14</v>
      </c>
      <c r="E499" t="s">
        <v>16</v>
      </c>
      <c r="F499" t="s">
        <v>21</v>
      </c>
      <c r="G499">
        <v>38</v>
      </c>
      <c r="H499" s="13">
        <v>94495</v>
      </c>
      <c r="I499" s="13">
        <v>15107</v>
      </c>
      <c r="J499" t="s">
        <v>25</v>
      </c>
      <c r="K499" s="13">
        <f>HR_Data[[#This Row],[Salary]]+HR_Data[[#This Row],[Bonus]]</f>
        <v>109602</v>
      </c>
    </row>
    <row r="500" spans="1:11" x14ac:dyDescent="0.25">
      <c r="A500">
        <v>1499</v>
      </c>
      <c r="B500" t="s">
        <v>540</v>
      </c>
      <c r="C500" t="s">
        <v>2042</v>
      </c>
      <c r="D500" t="s">
        <v>15</v>
      </c>
      <c r="E500" t="s">
        <v>16</v>
      </c>
      <c r="F500" t="s">
        <v>23</v>
      </c>
      <c r="G500">
        <v>57</v>
      </c>
      <c r="H500" s="13">
        <v>48261</v>
      </c>
      <c r="I500" s="13">
        <v>24867</v>
      </c>
      <c r="J500" t="s">
        <v>25</v>
      </c>
      <c r="K500" s="13">
        <f>HR_Data[[#This Row],[Salary]]+HR_Data[[#This Row],[Bonus]]</f>
        <v>73128</v>
      </c>
    </row>
    <row r="501" spans="1:11" x14ac:dyDescent="0.25">
      <c r="A501">
        <v>1500</v>
      </c>
      <c r="B501" t="s">
        <v>541</v>
      </c>
      <c r="C501" t="s">
        <v>8</v>
      </c>
      <c r="D501" t="s">
        <v>15</v>
      </c>
      <c r="E501" t="s">
        <v>18</v>
      </c>
      <c r="F501" t="s">
        <v>24</v>
      </c>
      <c r="G501">
        <v>25</v>
      </c>
      <c r="H501" s="13">
        <v>81260</v>
      </c>
      <c r="I501" s="13">
        <v>29059</v>
      </c>
      <c r="J501" t="s">
        <v>25</v>
      </c>
      <c r="K501" s="13">
        <f>HR_Data[[#This Row],[Salary]]+HR_Data[[#This Row],[Bonus]]</f>
        <v>110319</v>
      </c>
    </row>
    <row r="502" spans="1:11" x14ac:dyDescent="0.25">
      <c r="A502">
        <v>1501</v>
      </c>
      <c r="B502" t="s">
        <v>542</v>
      </c>
      <c r="C502" t="s">
        <v>12</v>
      </c>
      <c r="D502" t="s">
        <v>14</v>
      </c>
      <c r="E502" t="s">
        <v>19</v>
      </c>
      <c r="F502" t="s">
        <v>23</v>
      </c>
      <c r="G502">
        <v>59</v>
      </c>
      <c r="H502" s="13">
        <v>101371</v>
      </c>
      <c r="I502" s="13">
        <v>6757</v>
      </c>
      <c r="J502" t="s">
        <v>25</v>
      </c>
      <c r="K502" s="13">
        <f>HR_Data[[#This Row],[Salary]]+HR_Data[[#This Row],[Bonus]]</f>
        <v>108128</v>
      </c>
    </row>
    <row r="503" spans="1:11" x14ac:dyDescent="0.25">
      <c r="A503">
        <v>1502</v>
      </c>
      <c r="B503" t="s">
        <v>543</v>
      </c>
      <c r="C503" t="s">
        <v>11</v>
      </c>
      <c r="D503" t="s">
        <v>14</v>
      </c>
      <c r="E503" t="s">
        <v>16</v>
      </c>
      <c r="F503" t="s">
        <v>21</v>
      </c>
      <c r="G503">
        <v>46</v>
      </c>
      <c r="H503" s="13">
        <v>104793</v>
      </c>
      <c r="I503" s="13">
        <v>23193</v>
      </c>
      <c r="J503" t="s">
        <v>25</v>
      </c>
      <c r="K503" s="13">
        <f>HR_Data[[#This Row],[Salary]]+HR_Data[[#This Row],[Bonus]]</f>
        <v>127986</v>
      </c>
    </row>
    <row r="504" spans="1:11" x14ac:dyDescent="0.25">
      <c r="A504">
        <v>1503</v>
      </c>
      <c r="B504" t="s">
        <v>544</v>
      </c>
      <c r="C504" t="s">
        <v>11</v>
      </c>
      <c r="D504" t="s">
        <v>14</v>
      </c>
      <c r="E504" t="s">
        <v>19</v>
      </c>
      <c r="F504" t="s">
        <v>23</v>
      </c>
      <c r="G504">
        <v>26</v>
      </c>
      <c r="H504" s="13">
        <v>23346</v>
      </c>
      <c r="I504" s="13">
        <v>26923</v>
      </c>
      <c r="J504" t="s">
        <v>26</v>
      </c>
      <c r="K504" s="13">
        <f>HR_Data[[#This Row],[Salary]]+HR_Data[[#This Row],[Bonus]]</f>
        <v>50269</v>
      </c>
    </row>
    <row r="505" spans="1:11" x14ac:dyDescent="0.25">
      <c r="A505">
        <v>1504</v>
      </c>
      <c r="B505" t="s">
        <v>545</v>
      </c>
      <c r="C505" t="s">
        <v>2042</v>
      </c>
      <c r="D505" t="s">
        <v>14</v>
      </c>
      <c r="E505" t="s">
        <v>20</v>
      </c>
      <c r="F505" t="s">
        <v>22</v>
      </c>
      <c r="G505">
        <v>51</v>
      </c>
      <c r="H505" s="13">
        <v>116343</v>
      </c>
      <c r="I505" s="13">
        <v>27432</v>
      </c>
      <c r="J505" t="s">
        <v>26</v>
      </c>
      <c r="K505" s="13">
        <f>HR_Data[[#This Row],[Salary]]+HR_Data[[#This Row],[Bonus]]</f>
        <v>143775</v>
      </c>
    </row>
    <row r="506" spans="1:11" x14ac:dyDescent="0.25">
      <c r="A506">
        <v>1505</v>
      </c>
      <c r="B506" t="s">
        <v>546</v>
      </c>
      <c r="C506" t="s">
        <v>10</v>
      </c>
      <c r="D506" t="s">
        <v>15</v>
      </c>
      <c r="E506" t="s">
        <v>17</v>
      </c>
      <c r="F506" t="s">
        <v>21</v>
      </c>
      <c r="G506">
        <v>33</v>
      </c>
      <c r="H506" s="13">
        <v>115954</v>
      </c>
      <c r="I506" s="13">
        <v>16199</v>
      </c>
      <c r="J506" t="s">
        <v>25</v>
      </c>
      <c r="K506" s="13">
        <f>HR_Data[[#This Row],[Salary]]+HR_Data[[#This Row],[Bonus]]</f>
        <v>132153</v>
      </c>
    </row>
    <row r="507" spans="1:11" x14ac:dyDescent="0.25">
      <c r="A507">
        <v>1506</v>
      </c>
      <c r="B507" t="s">
        <v>547</v>
      </c>
      <c r="C507" t="s">
        <v>10</v>
      </c>
      <c r="D507" t="s">
        <v>15</v>
      </c>
      <c r="E507" t="s">
        <v>19</v>
      </c>
      <c r="F507" t="s">
        <v>22</v>
      </c>
      <c r="G507">
        <v>25</v>
      </c>
      <c r="H507" s="13">
        <v>76176</v>
      </c>
      <c r="I507" s="13">
        <v>21295</v>
      </c>
      <c r="J507" t="s">
        <v>25</v>
      </c>
      <c r="K507" s="13">
        <f>HR_Data[[#This Row],[Salary]]+HR_Data[[#This Row],[Bonus]]</f>
        <v>97471</v>
      </c>
    </row>
    <row r="508" spans="1:11" x14ac:dyDescent="0.25">
      <c r="A508">
        <v>1507</v>
      </c>
      <c r="B508" t="s">
        <v>548</v>
      </c>
      <c r="C508" t="s">
        <v>11</v>
      </c>
      <c r="D508" t="s">
        <v>14</v>
      </c>
      <c r="E508" t="s">
        <v>17</v>
      </c>
      <c r="F508" t="s">
        <v>23</v>
      </c>
      <c r="G508">
        <v>45</v>
      </c>
      <c r="H508" s="13">
        <v>72300</v>
      </c>
      <c r="I508" s="13">
        <v>17807</v>
      </c>
      <c r="J508" t="s">
        <v>26</v>
      </c>
      <c r="K508" s="13">
        <f>HR_Data[[#This Row],[Salary]]+HR_Data[[#This Row],[Bonus]]</f>
        <v>90107</v>
      </c>
    </row>
    <row r="509" spans="1:11" x14ac:dyDescent="0.25">
      <c r="A509">
        <v>1508</v>
      </c>
      <c r="B509" t="s">
        <v>549</v>
      </c>
      <c r="C509" t="s">
        <v>2042</v>
      </c>
      <c r="D509" t="s">
        <v>14</v>
      </c>
      <c r="E509" t="s">
        <v>19</v>
      </c>
      <c r="F509" t="s">
        <v>22</v>
      </c>
      <c r="G509">
        <v>50</v>
      </c>
      <c r="H509" s="13">
        <v>31340</v>
      </c>
      <c r="I509" s="13">
        <v>22535</v>
      </c>
      <c r="J509" t="s">
        <v>25</v>
      </c>
      <c r="K509" s="13">
        <f>HR_Data[[#This Row],[Salary]]+HR_Data[[#This Row],[Bonus]]</f>
        <v>53875</v>
      </c>
    </row>
    <row r="510" spans="1:11" x14ac:dyDescent="0.25">
      <c r="A510">
        <v>1509</v>
      </c>
      <c r="B510" t="s">
        <v>550</v>
      </c>
      <c r="C510" t="s">
        <v>8</v>
      </c>
      <c r="D510" t="s">
        <v>14</v>
      </c>
      <c r="E510" t="s">
        <v>20</v>
      </c>
      <c r="F510" t="s">
        <v>21</v>
      </c>
      <c r="G510">
        <v>30</v>
      </c>
      <c r="H510" s="13">
        <v>53012</v>
      </c>
      <c r="I510" s="13">
        <v>10492</v>
      </c>
      <c r="J510" t="s">
        <v>25</v>
      </c>
      <c r="K510" s="13">
        <f>HR_Data[[#This Row],[Salary]]+HR_Data[[#This Row],[Bonus]]</f>
        <v>63504</v>
      </c>
    </row>
    <row r="511" spans="1:11" x14ac:dyDescent="0.25">
      <c r="A511">
        <v>1510</v>
      </c>
      <c r="B511" t="s">
        <v>551</v>
      </c>
      <c r="C511" t="s">
        <v>10</v>
      </c>
      <c r="D511" t="s">
        <v>15</v>
      </c>
      <c r="E511" t="s">
        <v>16</v>
      </c>
      <c r="F511" t="s">
        <v>22</v>
      </c>
      <c r="G511">
        <v>25</v>
      </c>
      <c r="H511" s="13">
        <v>55393</v>
      </c>
      <c r="I511" s="13">
        <v>28095</v>
      </c>
      <c r="J511" t="s">
        <v>25</v>
      </c>
      <c r="K511" s="13">
        <f>HR_Data[[#This Row],[Salary]]+HR_Data[[#This Row],[Bonus]]</f>
        <v>83488</v>
      </c>
    </row>
    <row r="512" spans="1:11" x14ac:dyDescent="0.25">
      <c r="A512">
        <v>1511</v>
      </c>
      <c r="B512" t="s">
        <v>552</v>
      </c>
      <c r="C512" t="s">
        <v>8</v>
      </c>
      <c r="D512" t="s">
        <v>14</v>
      </c>
      <c r="E512" t="s">
        <v>20</v>
      </c>
      <c r="F512" t="s">
        <v>23</v>
      </c>
      <c r="G512">
        <v>45</v>
      </c>
      <c r="H512" s="13">
        <v>95133</v>
      </c>
      <c r="I512" s="13">
        <v>11302</v>
      </c>
      <c r="J512" t="s">
        <v>25</v>
      </c>
      <c r="K512" s="13">
        <f>HR_Data[[#This Row],[Salary]]+HR_Data[[#This Row],[Bonus]]</f>
        <v>106435</v>
      </c>
    </row>
    <row r="513" spans="1:18" x14ac:dyDescent="0.25">
      <c r="A513">
        <v>1512</v>
      </c>
      <c r="B513" t="s">
        <v>553</v>
      </c>
      <c r="C513" t="s">
        <v>10</v>
      </c>
      <c r="D513" t="s">
        <v>15</v>
      </c>
      <c r="E513" t="s">
        <v>16</v>
      </c>
      <c r="F513" t="s">
        <v>23</v>
      </c>
      <c r="G513">
        <v>35</v>
      </c>
      <c r="H513" s="13">
        <v>45557</v>
      </c>
      <c r="I513" s="13">
        <v>20929</v>
      </c>
      <c r="J513" t="s">
        <v>25</v>
      </c>
      <c r="K513" s="13">
        <f>HR_Data[[#This Row],[Salary]]+HR_Data[[#This Row],[Bonus]]</f>
        <v>66486</v>
      </c>
    </row>
    <row r="514" spans="1:18" x14ac:dyDescent="0.25">
      <c r="A514">
        <v>1513</v>
      </c>
      <c r="B514" t="s">
        <v>554</v>
      </c>
      <c r="C514" t="s">
        <v>10</v>
      </c>
      <c r="D514" t="s">
        <v>14</v>
      </c>
      <c r="E514" t="s">
        <v>16</v>
      </c>
      <c r="F514" t="s">
        <v>23</v>
      </c>
      <c r="G514">
        <v>26</v>
      </c>
      <c r="H514" s="13">
        <v>69554.53</v>
      </c>
      <c r="I514" s="13">
        <v>9747</v>
      </c>
      <c r="J514" t="s">
        <v>26</v>
      </c>
      <c r="K514" s="13">
        <f>HR_Data[[#This Row],[Salary]]+HR_Data[[#This Row],[Bonus]]</f>
        <v>79301.53</v>
      </c>
      <c r="R514" s="4"/>
    </row>
    <row r="515" spans="1:18" x14ac:dyDescent="0.25">
      <c r="A515">
        <v>1514</v>
      </c>
      <c r="B515" t="s">
        <v>555</v>
      </c>
      <c r="C515" t="s">
        <v>9</v>
      </c>
      <c r="D515" t="s">
        <v>15</v>
      </c>
      <c r="E515" t="s">
        <v>17</v>
      </c>
      <c r="F515" t="s">
        <v>21</v>
      </c>
      <c r="G515">
        <v>39</v>
      </c>
      <c r="H515" s="13">
        <v>93273</v>
      </c>
      <c r="I515" s="13">
        <v>19238</v>
      </c>
      <c r="J515" t="s">
        <v>25</v>
      </c>
      <c r="K515" s="13">
        <f>HR_Data[[#This Row],[Salary]]+HR_Data[[#This Row],[Bonus]]</f>
        <v>112511</v>
      </c>
    </row>
    <row r="516" spans="1:18" x14ac:dyDescent="0.25">
      <c r="A516">
        <v>1515</v>
      </c>
      <c r="B516" t="s">
        <v>556</v>
      </c>
      <c r="C516" t="s">
        <v>10</v>
      </c>
      <c r="D516" t="s">
        <v>14</v>
      </c>
      <c r="E516" t="s">
        <v>20</v>
      </c>
      <c r="F516" t="s">
        <v>23</v>
      </c>
      <c r="G516">
        <v>40</v>
      </c>
      <c r="H516" s="13">
        <v>37276</v>
      </c>
      <c r="I516" s="13">
        <v>13402</v>
      </c>
      <c r="J516" t="s">
        <v>25</v>
      </c>
      <c r="K516" s="13">
        <f>HR_Data[[#This Row],[Salary]]+HR_Data[[#This Row],[Bonus]]</f>
        <v>50678</v>
      </c>
    </row>
    <row r="517" spans="1:18" x14ac:dyDescent="0.25">
      <c r="A517">
        <v>1516</v>
      </c>
      <c r="B517" t="s">
        <v>557</v>
      </c>
      <c r="C517" t="s">
        <v>12</v>
      </c>
      <c r="D517" t="s">
        <v>15</v>
      </c>
      <c r="E517" t="s">
        <v>19</v>
      </c>
      <c r="F517" t="s">
        <v>21</v>
      </c>
      <c r="G517">
        <v>33</v>
      </c>
      <c r="H517" s="13">
        <v>74639</v>
      </c>
      <c r="I517" s="13">
        <v>15686</v>
      </c>
      <c r="J517" t="s">
        <v>25</v>
      </c>
      <c r="K517" s="13">
        <f>HR_Data[[#This Row],[Salary]]+HR_Data[[#This Row],[Bonus]]</f>
        <v>90325</v>
      </c>
    </row>
    <row r="518" spans="1:18" x14ac:dyDescent="0.25">
      <c r="A518">
        <v>1517</v>
      </c>
      <c r="B518" t="s">
        <v>558</v>
      </c>
      <c r="C518" t="s">
        <v>2042</v>
      </c>
      <c r="D518" t="s">
        <v>14</v>
      </c>
      <c r="E518" t="s">
        <v>20</v>
      </c>
      <c r="F518" t="s">
        <v>22</v>
      </c>
      <c r="G518">
        <v>39</v>
      </c>
      <c r="H518" s="13">
        <v>27310</v>
      </c>
      <c r="I518" s="13">
        <v>9681</v>
      </c>
      <c r="J518" t="s">
        <v>25</v>
      </c>
      <c r="K518" s="13">
        <f>HR_Data[[#This Row],[Salary]]+HR_Data[[#This Row],[Bonus]]</f>
        <v>36991</v>
      </c>
    </row>
    <row r="519" spans="1:18" x14ac:dyDescent="0.25">
      <c r="A519">
        <v>1518</v>
      </c>
      <c r="B519" t="s">
        <v>559</v>
      </c>
      <c r="C519" t="s">
        <v>2042</v>
      </c>
      <c r="D519" t="s">
        <v>14</v>
      </c>
      <c r="E519" t="s">
        <v>17</v>
      </c>
      <c r="F519" t="s">
        <v>23</v>
      </c>
      <c r="G519">
        <v>38</v>
      </c>
      <c r="H519" s="13">
        <v>55167</v>
      </c>
      <c r="I519" s="13">
        <v>23891</v>
      </c>
      <c r="J519" t="s">
        <v>25</v>
      </c>
      <c r="K519" s="13">
        <f>HR_Data[[#This Row],[Salary]]+HR_Data[[#This Row],[Bonus]]</f>
        <v>79058</v>
      </c>
    </row>
    <row r="520" spans="1:18" x14ac:dyDescent="0.25">
      <c r="A520">
        <v>1519</v>
      </c>
      <c r="B520" t="s">
        <v>560</v>
      </c>
      <c r="C520" t="s">
        <v>8</v>
      </c>
      <c r="D520" t="s">
        <v>14</v>
      </c>
      <c r="E520" t="s">
        <v>16</v>
      </c>
      <c r="F520" t="s">
        <v>22</v>
      </c>
      <c r="G520">
        <v>51</v>
      </c>
      <c r="H520" s="13">
        <v>104880</v>
      </c>
      <c r="I520" s="13">
        <v>24347</v>
      </c>
      <c r="J520" t="s">
        <v>26</v>
      </c>
      <c r="K520" s="13">
        <f>HR_Data[[#This Row],[Salary]]+HR_Data[[#This Row],[Bonus]]</f>
        <v>129227</v>
      </c>
    </row>
    <row r="521" spans="1:18" x14ac:dyDescent="0.25">
      <c r="A521">
        <v>1520</v>
      </c>
      <c r="B521" t="s">
        <v>561</v>
      </c>
      <c r="C521" t="s">
        <v>10</v>
      </c>
      <c r="D521" t="s">
        <v>15</v>
      </c>
      <c r="E521" t="s">
        <v>17</v>
      </c>
      <c r="F521" t="s">
        <v>24</v>
      </c>
      <c r="G521">
        <v>45</v>
      </c>
      <c r="H521" s="13">
        <v>30391</v>
      </c>
      <c r="I521" s="13">
        <v>8428</v>
      </c>
      <c r="J521" t="s">
        <v>25</v>
      </c>
      <c r="K521" s="13">
        <f>HR_Data[[#This Row],[Salary]]+HR_Data[[#This Row],[Bonus]]</f>
        <v>38819</v>
      </c>
    </row>
    <row r="522" spans="1:18" x14ac:dyDescent="0.25">
      <c r="A522">
        <v>1521</v>
      </c>
      <c r="B522" t="s">
        <v>562</v>
      </c>
      <c r="C522" t="s">
        <v>12</v>
      </c>
      <c r="D522" t="s">
        <v>14</v>
      </c>
      <c r="E522" t="s">
        <v>18</v>
      </c>
      <c r="F522" t="s">
        <v>22</v>
      </c>
      <c r="G522">
        <v>32</v>
      </c>
      <c r="H522" s="13">
        <v>70621</v>
      </c>
      <c r="I522" s="13">
        <v>12494</v>
      </c>
      <c r="J522" t="s">
        <v>25</v>
      </c>
      <c r="K522" s="13">
        <f>HR_Data[[#This Row],[Salary]]+HR_Data[[#This Row],[Bonus]]</f>
        <v>83115</v>
      </c>
    </row>
    <row r="523" spans="1:18" x14ac:dyDescent="0.25">
      <c r="A523">
        <v>1522</v>
      </c>
      <c r="B523" t="s">
        <v>563</v>
      </c>
      <c r="C523" t="s">
        <v>8</v>
      </c>
      <c r="D523" t="s">
        <v>15</v>
      </c>
      <c r="E523" t="s">
        <v>18</v>
      </c>
      <c r="F523" t="s">
        <v>24</v>
      </c>
      <c r="G523">
        <v>56</v>
      </c>
      <c r="H523" s="13">
        <v>30892</v>
      </c>
      <c r="I523" s="13">
        <v>8955</v>
      </c>
      <c r="J523" t="s">
        <v>25</v>
      </c>
      <c r="K523" s="13">
        <f>HR_Data[[#This Row],[Salary]]+HR_Data[[#This Row],[Bonus]]</f>
        <v>39847</v>
      </c>
    </row>
    <row r="524" spans="1:18" x14ac:dyDescent="0.25">
      <c r="A524">
        <v>1523</v>
      </c>
      <c r="B524" t="s">
        <v>564</v>
      </c>
      <c r="C524" t="s">
        <v>9</v>
      </c>
      <c r="D524" t="s">
        <v>27</v>
      </c>
      <c r="E524" t="s">
        <v>19</v>
      </c>
      <c r="F524" t="s">
        <v>22</v>
      </c>
      <c r="G524">
        <v>44</v>
      </c>
      <c r="H524" s="13">
        <v>96733</v>
      </c>
      <c r="I524" s="13">
        <v>25089</v>
      </c>
      <c r="J524" t="s">
        <v>25</v>
      </c>
      <c r="K524" s="13">
        <f>HR_Data[[#This Row],[Salary]]+HR_Data[[#This Row],[Bonus]]</f>
        <v>121822</v>
      </c>
    </row>
    <row r="525" spans="1:18" x14ac:dyDescent="0.25">
      <c r="A525">
        <v>1524</v>
      </c>
      <c r="B525" t="s">
        <v>565</v>
      </c>
      <c r="C525" t="s">
        <v>8</v>
      </c>
      <c r="D525" t="s">
        <v>14</v>
      </c>
      <c r="E525" t="s">
        <v>17</v>
      </c>
      <c r="F525" t="s">
        <v>21</v>
      </c>
      <c r="G525">
        <v>38</v>
      </c>
      <c r="H525" s="13">
        <v>98586</v>
      </c>
      <c r="I525" s="13">
        <v>19026</v>
      </c>
      <c r="J525" t="s">
        <v>26</v>
      </c>
      <c r="K525" s="13">
        <f>HR_Data[[#This Row],[Salary]]+HR_Data[[#This Row],[Bonus]]</f>
        <v>117612</v>
      </c>
    </row>
    <row r="526" spans="1:18" x14ac:dyDescent="0.25">
      <c r="A526">
        <v>1525</v>
      </c>
      <c r="B526" t="s">
        <v>566</v>
      </c>
      <c r="C526" t="s">
        <v>8</v>
      </c>
      <c r="D526" t="s">
        <v>14</v>
      </c>
      <c r="E526" t="s">
        <v>19</v>
      </c>
      <c r="F526" t="s">
        <v>22</v>
      </c>
      <c r="G526">
        <v>22</v>
      </c>
      <c r="H526" s="13">
        <v>56142</v>
      </c>
      <c r="I526" s="13">
        <v>25422</v>
      </c>
      <c r="J526" t="s">
        <v>25</v>
      </c>
      <c r="K526" s="13">
        <f>HR_Data[[#This Row],[Salary]]+HR_Data[[#This Row],[Bonus]]</f>
        <v>81564</v>
      </c>
    </row>
    <row r="527" spans="1:18" x14ac:dyDescent="0.25">
      <c r="A527">
        <v>1526</v>
      </c>
      <c r="B527" t="s">
        <v>567</v>
      </c>
      <c r="C527" t="s">
        <v>10</v>
      </c>
      <c r="D527" t="s">
        <v>14</v>
      </c>
      <c r="E527" t="s">
        <v>19</v>
      </c>
      <c r="F527" t="s">
        <v>21</v>
      </c>
      <c r="G527">
        <v>36</v>
      </c>
      <c r="H527" s="13">
        <v>65679</v>
      </c>
      <c r="I527" s="13">
        <v>14244</v>
      </c>
      <c r="J527" t="s">
        <v>26</v>
      </c>
      <c r="K527" s="13">
        <f>HR_Data[[#This Row],[Salary]]+HR_Data[[#This Row],[Bonus]]</f>
        <v>79923</v>
      </c>
    </row>
    <row r="528" spans="1:18" x14ac:dyDescent="0.25">
      <c r="A528">
        <v>1527</v>
      </c>
      <c r="B528" t="s">
        <v>568</v>
      </c>
      <c r="C528" t="s">
        <v>9</v>
      </c>
      <c r="D528" t="s">
        <v>15</v>
      </c>
      <c r="E528" t="s">
        <v>18</v>
      </c>
      <c r="F528" t="s">
        <v>21</v>
      </c>
      <c r="G528">
        <v>53</v>
      </c>
      <c r="H528" s="13">
        <v>61615</v>
      </c>
      <c r="I528" s="13">
        <v>5713</v>
      </c>
      <c r="J528" t="s">
        <v>25</v>
      </c>
      <c r="K528" s="13">
        <f>HR_Data[[#This Row],[Salary]]+HR_Data[[#This Row],[Bonus]]</f>
        <v>67328</v>
      </c>
    </row>
    <row r="529" spans="1:11" x14ac:dyDescent="0.25">
      <c r="A529">
        <v>1528</v>
      </c>
      <c r="B529" t="s">
        <v>569</v>
      </c>
      <c r="C529" t="s">
        <v>8</v>
      </c>
      <c r="D529" t="s">
        <v>14</v>
      </c>
      <c r="E529" t="s">
        <v>19</v>
      </c>
      <c r="F529" t="s">
        <v>23</v>
      </c>
      <c r="G529">
        <v>30</v>
      </c>
      <c r="H529" s="13">
        <v>67553</v>
      </c>
      <c r="I529" s="13">
        <v>28644</v>
      </c>
      <c r="J529" t="s">
        <v>26</v>
      </c>
      <c r="K529" s="13">
        <f>HR_Data[[#This Row],[Salary]]+HR_Data[[#This Row],[Bonus]]</f>
        <v>96197</v>
      </c>
    </row>
    <row r="530" spans="1:11" x14ac:dyDescent="0.25">
      <c r="A530">
        <v>1529</v>
      </c>
      <c r="B530" t="s">
        <v>570</v>
      </c>
      <c r="C530" t="s">
        <v>12</v>
      </c>
      <c r="D530" t="s">
        <v>15</v>
      </c>
      <c r="E530" t="s">
        <v>18</v>
      </c>
      <c r="F530" t="s">
        <v>21</v>
      </c>
      <c r="G530">
        <v>36</v>
      </c>
      <c r="H530" s="13">
        <v>99071</v>
      </c>
      <c r="I530" s="13">
        <v>16080</v>
      </c>
      <c r="J530" t="s">
        <v>25</v>
      </c>
      <c r="K530" s="13">
        <f>HR_Data[[#This Row],[Salary]]+HR_Data[[#This Row],[Bonus]]</f>
        <v>115151</v>
      </c>
    </row>
    <row r="531" spans="1:11" x14ac:dyDescent="0.25">
      <c r="A531">
        <v>1530</v>
      </c>
      <c r="B531" t="s">
        <v>571</v>
      </c>
      <c r="C531" t="s">
        <v>12</v>
      </c>
      <c r="D531" t="s">
        <v>15</v>
      </c>
      <c r="E531" t="s">
        <v>16</v>
      </c>
      <c r="F531" t="s">
        <v>24</v>
      </c>
      <c r="G531">
        <v>49</v>
      </c>
      <c r="H531" s="13">
        <v>61002</v>
      </c>
      <c r="I531" s="13">
        <v>28395</v>
      </c>
      <c r="J531" t="s">
        <v>26</v>
      </c>
      <c r="K531" s="13">
        <f>HR_Data[[#This Row],[Salary]]+HR_Data[[#This Row],[Bonus]]</f>
        <v>89397</v>
      </c>
    </row>
    <row r="532" spans="1:11" x14ac:dyDescent="0.25">
      <c r="A532">
        <v>1531</v>
      </c>
      <c r="B532" t="s">
        <v>572</v>
      </c>
      <c r="C532" t="s">
        <v>2042</v>
      </c>
      <c r="D532" t="s">
        <v>14</v>
      </c>
      <c r="E532" t="s">
        <v>17</v>
      </c>
      <c r="F532" t="s">
        <v>23</v>
      </c>
      <c r="G532">
        <v>45</v>
      </c>
      <c r="H532" s="13">
        <v>90658</v>
      </c>
      <c r="I532" s="13">
        <v>13521</v>
      </c>
      <c r="J532" t="s">
        <v>26</v>
      </c>
      <c r="K532" s="13">
        <f>HR_Data[[#This Row],[Salary]]+HR_Data[[#This Row],[Bonus]]</f>
        <v>104179</v>
      </c>
    </row>
    <row r="533" spans="1:11" x14ac:dyDescent="0.25">
      <c r="A533">
        <v>1532</v>
      </c>
      <c r="B533" t="s">
        <v>573</v>
      </c>
      <c r="C533" t="s">
        <v>9</v>
      </c>
      <c r="D533" t="s">
        <v>14</v>
      </c>
      <c r="E533" t="s">
        <v>19</v>
      </c>
      <c r="F533" t="s">
        <v>23</v>
      </c>
      <c r="G533">
        <v>56</v>
      </c>
      <c r="H533" s="13">
        <v>29852</v>
      </c>
      <c r="I533" s="13">
        <v>6746</v>
      </c>
      <c r="J533" t="s">
        <v>25</v>
      </c>
      <c r="K533" s="13">
        <f>HR_Data[[#This Row],[Salary]]+HR_Data[[#This Row],[Bonus]]</f>
        <v>36598</v>
      </c>
    </row>
    <row r="534" spans="1:11" x14ac:dyDescent="0.25">
      <c r="A534">
        <v>1533</v>
      </c>
      <c r="B534" t="s">
        <v>574</v>
      </c>
      <c r="C534" t="s">
        <v>9</v>
      </c>
      <c r="D534" t="s">
        <v>14</v>
      </c>
      <c r="E534" t="s">
        <v>18</v>
      </c>
      <c r="F534" t="s">
        <v>22</v>
      </c>
      <c r="G534">
        <v>43</v>
      </c>
      <c r="H534" s="13">
        <v>25387</v>
      </c>
      <c r="I534" s="13">
        <v>22591</v>
      </c>
      <c r="J534" t="s">
        <v>25</v>
      </c>
      <c r="K534" s="13">
        <f>HR_Data[[#This Row],[Salary]]+HR_Data[[#This Row],[Bonus]]</f>
        <v>47978</v>
      </c>
    </row>
    <row r="535" spans="1:11" x14ac:dyDescent="0.25">
      <c r="A535">
        <v>1534</v>
      </c>
      <c r="B535" t="s">
        <v>575</v>
      </c>
      <c r="C535" t="s">
        <v>2042</v>
      </c>
      <c r="D535" t="s">
        <v>14</v>
      </c>
      <c r="E535" t="s">
        <v>20</v>
      </c>
      <c r="F535" t="s">
        <v>21</v>
      </c>
      <c r="G535">
        <v>48</v>
      </c>
      <c r="H535" s="13">
        <v>117295</v>
      </c>
      <c r="I535" s="13">
        <v>22168</v>
      </c>
      <c r="J535" t="s">
        <v>26</v>
      </c>
      <c r="K535" s="13">
        <f>HR_Data[[#This Row],[Salary]]+HR_Data[[#This Row],[Bonus]]</f>
        <v>139463</v>
      </c>
    </row>
    <row r="536" spans="1:11" x14ac:dyDescent="0.25">
      <c r="A536">
        <v>1535</v>
      </c>
      <c r="B536" t="s">
        <v>576</v>
      </c>
      <c r="C536" t="s">
        <v>27</v>
      </c>
      <c r="D536" t="s">
        <v>14</v>
      </c>
      <c r="E536" t="s">
        <v>19</v>
      </c>
      <c r="F536" t="s">
        <v>21</v>
      </c>
      <c r="G536">
        <v>40</v>
      </c>
      <c r="H536" s="13">
        <v>59994</v>
      </c>
      <c r="I536" s="13">
        <v>7696</v>
      </c>
      <c r="J536" t="s">
        <v>26</v>
      </c>
      <c r="K536" s="13">
        <f>HR_Data[[#This Row],[Salary]]+HR_Data[[#This Row],[Bonus]]</f>
        <v>67690</v>
      </c>
    </row>
    <row r="537" spans="1:11" x14ac:dyDescent="0.25">
      <c r="A537">
        <v>1536</v>
      </c>
      <c r="B537" t="s">
        <v>577</v>
      </c>
      <c r="C537" t="s">
        <v>9</v>
      </c>
      <c r="D537" t="s">
        <v>14</v>
      </c>
      <c r="E537" t="s">
        <v>16</v>
      </c>
      <c r="F537" t="s">
        <v>24</v>
      </c>
      <c r="G537">
        <v>33</v>
      </c>
      <c r="H537" s="13">
        <v>53725</v>
      </c>
      <c r="I537" s="13">
        <v>17012</v>
      </c>
      <c r="J537" t="s">
        <v>26</v>
      </c>
      <c r="K537" s="13">
        <f>HR_Data[[#This Row],[Salary]]+HR_Data[[#This Row],[Bonus]]</f>
        <v>70737</v>
      </c>
    </row>
    <row r="538" spans="1:11" x14ac:dyDescent="0.25">
      <c r="A538">
        <v>1537</v>
      </c>
      <c r="B538" t="s">
        <v>578</v>
      </c>
      <c r="C538" t="s">
        <v>12</v>
      </c>
      <c r="D538" t="s">
        <v>15</v>
      </c>
      <c r="E538" t="s">
        <v>16</v>
      </c>
      <c r="F538" t="s">
        <v>22</v>
      </c>
      <c r="G538">
        <v>41</v>
      </c>
      <c r="H538" s="13">
        <v>92682</v>
      </c>
      <c r="I538" s="13">
        <v>19688</v>
      </c>
      <c r="J538" t="s">
        <v>25</v>
      </c>
      <c r="K538" s="13">
        <f>HR_Data[[#This Row],[Salary]]+HR_Data[[#This Row],[Bonus]]</f>
        <v>112370</v>
      </c>
    </row>
    <row r="539" spans="1:11" x14ac:dyDescent="0.25">
      <c r="A539">
        <v>1538</v>
      </c>
      <c r="B539" t="s">
        <v>579</v>
      </c>
      <c r="C539" t="s">
        <v>12</v>
      </c>
      <c r="D539" t="s">
        <v>15</v>
      </c>
      <c r="E539" t="s">
        <v>20</v>
      </c>
      <c r="F539" t="s">
        <v>22</v>
      </c>
      <c r="G539">
        <v>22</v>
      </c>
      <c r="H539" s="13">
        <v>20560</v>
      </c>
      <c r="I539" s="13">
        <v>28457</v>
      </c>
      <c r="J539" t="s">
        <v>25</v>
      </c>
      <c r="K539" s="13">
        <f>HR_Data[[#This Row],[Salary]]+HR_Data[[#This Row],[Bonus]]</f>
        <v>49017</v>
      </c>
    </row>
    <row r="540" spans="1:11" x14ac:dyDescent="0.25">
      <c r="A540">
        <v>1539</v>
      </c>
      <c r="B540" t="s">
        <v>580</v>
      </c>
      <c r="C540" t="s">
        <v>10</v>
      </c>
      <c r="D540" t="s">
        <v>15</v>
      </c>
      <c r="E540" t="s">
        <v>18</v>
      </c>
      <c r="F540" t="s">
        <v>23</v>
      </c>
      <c r="G540">
        <v>42</v>
      </c>
      <c r="H540" s="13">
        <v>76565</v>
      </c>
      <c r="I540" s="13">
        <v>10036</v>
      </c>
      <c r="J540" t="s">
        <v>26</v>
      </c>
      <c r="K540" s="13">
        <f>HR_Data[[#This Row],[Salary]]+HR_Data[[#This Row],[Bonus]]</f>
        <v>86601</v>
      </c>
    </row>
    <row r="541" spans="1:11" x14ac:dyDescent="0.25">
      <c r="A541">
        <v>1540</v>
      </c>
      <c r="B541" t="s">
        <v>581</v>
      </c>
      <c r="C541" t="s">
        <v>13</v>
      </c>
      <c r="D541" t="s">
        <v>14</v>
      </c>
      <c r="E541" t="s">
        <v>19</v>
      </c>
      <c r="F541" t="s">
        <v>23</v>
      </c>
      <c r="G541">
        <v>22</v>
      </c>
      <c r="H541" s="13">
        <v>21312</v>
      </c>
      <c r="I541" s="13">
        <v>12127</v>
      </c>
      <c r="J541" t="s">
        <v>25</v>
      </c>
      <c r="K541" s="13">
        <f>HR_Data[[#This Row],[Salary]]+HR_Data[[#This Row],[Bonus]]</f>
        <v>33439</v>
      </c>
    </row>
    <row r="542" spans="1:11" x14ac:dyDescent="0.25">
      <c r="A542">
        <v>1541</v>
      </c>
      <c r="B542" t="s">
        <v>582</v>
      </c>
      <c r="C542" t="s">
        <v>8</v>
      </c>
      <c r="D542" t="s">
        <v>15</v>
      </c>
      <c r="E542" t="s">
        <v>18</v>
      </c>
      <c r="F542" t="s">
        <v>23</v>
      </c>
      <c r="G542">
        <v>31</v>
      </c>
      <c r="H542" s="13">
        <v>38205</v>
      </c>
      <c r="I542" s="13">
        <v>8718</v>
      </c>
      <c r="J542" t="s">
        <v>25</v>
      </c>
      <c r="K542" s="13">
        <f>HR_Data[[#This Row],[Salary]]+HR_Data[[#This Row],[Bonus]]</f>
        <v>46923</v>
      </c>
    </row>
    <row r="543" spans="1:11" x14ac:dyDescent="0.25">
      <c r="A543">
        <v>1542</v>
      </c>
      <c r="B543" t="s">
        <v>583</v>
      </c>
      <c r="C543" t="s">
        <v>2042</v>
      </c>
      <c r="D543" t="s">
        <v>15</v>
      </c>
      <c r="E543" t="s">
        <v>16</v>
      </c>
      <c r="F543" t="s">
        <v>24</v>
      </c>
      <c r="G543">
        <v>53</v>
      </c>
      <c r="H543" s="13">
        <v>31595</v>
      </c>
      <c r="I543" s="13">
        <v>27159</v>
      </c>
      <c r="J543" t="s">
        <v>25</v>
      </c>
      <c r="K543" s="13">
        <f>HR_Data[[#This Row],[Salary]]+HR_Data[[#This Row],[Bonus]]</f>
        <v>58754</v>
      </c>
    </row>
    <row r="544" spans="1:11" x14ac:dyDescent="0.25">
      <c r="A544">
        <v>1543</v>
      </c>
      <c r="B544" t="s">
        <v>584</v>
      </c>
      <c r="C544" t="s">
        <v>2042</v>
      </c>
      <c r="D544" t="s">
        <v>15</v>
      </c>
      <c r="E544" t="s">
        <v>18</v>
      </c>
      <c r="F544" t="s">
        <v>24</v>
      </c>
      <c r="G544">
        <v>43</v>
      </c>
      <c r="H544" s="13">
        <v>107566</v>
      </c>
      <c r="I544" s="13">
        <v>12910</v>
      </c>
      <c r="J544" t="s">
        <v>25</v>
      </c>
      <c r="K544" s="13">
        <f>HR_Data[[#This Row],[Salary]]+HR_Data[[#This Row],[Bonus]]</f>
        <v>120476</v>
      </c>
    </row>
    <row r="545" spans="1:11" x14ac:dyDescent="0.25">
      <c r="A545">
        <v>1544</v>
      </c>
      <c r="B545" t="s">
        <v>585</v>
      </c>
      <c r="C545" t="s">
        <v>8</v>
      </c>
      <c r="D545" t="s">
        <v>15</v>
      </c>
      <c r="E545" t="s">
        <v>16</v>
      </c>
      <c r="F545" t="s">
        <v>23</v>
      </c>
      <c r="G545">
        <v>39</v>
      </c>
      <c r="H545" s="13">
        <v>69554.53</v>
      </c>
      <c r="I545" s="13">
        <v>7693</v>
      </c>
      <c r="J545" t="s">
        <v>25</v>
      </c>
      <c r="K545" s="13">
        <f>HR_Data[[#This Row],[Salary]]+HR_Data[[#This Row],[Bonus]]</f>
        <v>77247.53</v>
      </c>
    </row>
    <row r="546" spans="1:11" x14ac:dyDescent="0.25">
      <c r="A546">
        <v>1545</v>
      </c>
      <c r="B546" t="s">
        <v>586</v>
      </c>
      <c r="C546" t="s">
        <v>11</v>
      </c>
      <c r="D546" t="s">
        <v>15</v>
      </c>
      <c r="E546" t="s">
        <v>18</v>
      </c>
      <c r="F546" t="s">
        <v>22</v>
      </c>
      <c r="G546">
        <v>53</v>
      </c>
      <c r="H546" s="13">
        <v>88187</v>
      </c>
      <c r="I546" s="13">
        <v>22009</v>
      </c>
      <c r="J546" t="s">
        <v>26</v>
      </c>
      <c r="K546" s="13">
        <f>HR_Data[[#This Row],[Salary]]+HR_Data[[#This Row],[Bonus]]</f>
        <v>110196</v>
      </c>
    </row>
    <row r="547" spans="1:11" x14ac:dyDescent="0.25">
      <c r="A547">
        <v>1546</v>
      </c>
      <c r="B547" t="s">
        <v>587</v>
      </c>
      <c r="C547" t="s">
        <v>10</v>
      </c>
      <c r="D547" t="s">
        <v>14</v>
      </c>
      <c r="E547" t="s">
        <v>20</v>
      </c>
      <c r="F547" t="s">
        <v>24</v>
      </c>
      <c r="G547">
        <v>48</v>
      </c>
      <c r="H547" s="13">
        <v>95542</v>
      </c>
      <c r="I547" s="13">
        <v>20858</v>
      </c>
      <c r="J547" t="s">
        <v>25</v>
      </c>
      <c r="K547" s="13">
        <f>HR_Data[[#This Row],[Salary]]+HR_Data[[#This Row],[Bonus]]</f>
        <v>116400</v>
      </c>
    </row>
    <row r="548" spans="1:11" x14ac:dyDescent="0.25">
      <c r="A548">
        <v>1547</v>
      </c>
      <c r="B548" t="s">
        <v>588</v>
      </c>
      <c r="C548" t="s">
        <v>2042</v>
      </c>
      <c r="D548" t="s">
        <v>14</v>
      </c>
      <c r="E548" t="s">
        <v>17</v>
      </c>
      <c r="F548" t="s">
        <v>22</v>
      </c>
      <c r="G548">
        <v>49</v>
      </c>
      <c r="H548" s="13">
        <v>55645</v>
      </c>
      <c r="I548" s="13">
        <v>25092</v>
      </c>
      <c r="J548" t="s">
        <v>25</v>
      </c>
      <c r="K548" s="13">
        <f>HR_Data[[#This Row],[Salary]]+HR_Data[[#This Row],[Bonus]]</f>
        <v>80737</v>
      </c>
    </row>
    <row r="549" spans="1:11" x14ac:dyDescent="0.25">
      <c r="A549">
        <v>1548</v>
      </c>
      <c r="B549" t="s">
        <v>589</v>
      </c>
      <c r="C549" t="s">
        <v>9</v>
      </c>
      <c r="D549" t="s">
        <v>15</v>
      </c>
      <c r="E549" t="s">
        <v>20</v>
      </c>
      <c r="F549" t="s">
        <v>22</v>
      </c>
      <c r="G549">
        <v>39</v>
      </c>
      <c r="H549" s="13">
        <v>69554.53</v>
      </c>
      <c r="I549" s="13">
        <v>28243</v>
      </c>
      <c r="J549" t="s">
        <v>25</v>
      </c>
      <c r="K549" s="13">
        <f>HR_Data[[#This Row],[Salary]]+HR_Data[[#This Row],[Bonus]]</f>
        <v>97797.53</v>
      </c>
    </row>
    <row r="550" spans="1:11" x14ac:dyDescent="0.25">
      <c r="A550">
        <v>1549</v>
      </c>
      <c r="B550" t="s">
        <v>590</v>
      </c>
      <c r="C550" t="s">
        <v>10</v>
      </c>
      <c r="D550" t="s">
        <v>15</v>
      </c>
      <c r="E550" t="s">
        <v>20</v>
      </c>
      <c r="F550" t="s">
        <v>21</v>
      </c>
      <c r="G550">
        <v>50</v>
      </c>
      <c r="H550" s="13">
        <v>113382</v>
      </c>
      <c r="I550" s="13">
        <v>20932</v>
      </c>
      <c r="J550" t="s">
        <v>25</v>
      </c>
      <c r="K550" s="13">
        <f>HR_Data[[#This Row],[Salary]]+HR_Data[[#This Row],[Bonus]]</f>
        <v>134314</v>
      </c>
    </row>
    <row r="551" spans="1:11" x14ac:dyDescent="0.25">
      <c r="A551">
        <v>1550</v>
      </c>
      <c r="B551" t="s">
        <v>591</v>
      </c>
      <c r="C551" t="s">
        <v>9</v>
      </c>
      <c r="D551" t="s">
        <v>15</v>
      </c>
      <c r="E551" t="s">
        <v>17</v>
      </c>
      <c r="F551" t="s">
        <v>23</v>
      </c>
      <c r="G551">
        <v>39</v>
      </c>
      <c r="H551" s="13">
        <v>107310</v>
      </c>
      <c r="I551" s="13">
        <v>12692</v>
      </c>
      <c r="J551" t="s">
        <v>25</v>
      </c>
      <c r="K551" s="13">
        <f>HR_Data[[#This Row],[Salary]]+HR_Data[[#This Row],[Bonus]]</f>
        <v>120002</v>
      </c>
    </row>
    <row r="552" spans="1:11" x14ac:dyDescent="0.25">
      <c r="A552">
        <v>1551</v>
      </c>
      <c r="B552" t="s">
        <v>592</v>
      </c>
      <c r="C552" t="s">
        <v>12</v>
      </c>
      <c r="D552" t="s">
        <v>14</v>
      </c>
      <c r="E552" t="s">
        <v>17</v>
      </c>
      <c r="F552" t="s">
        <v>21</v>
      </c>
      <c r="G552">
        <v>29</v>
      </c>
      <c r="H552" s="13">
        <v>89619</v>
      </c>
      <c r="I552" s="13">
        <v>11398</v>
      </c>
      <c r="J552" t="s">
        <v>25</v>
      </c>
      <c r="K552" s="13">
        <f>HR_Data[[#This Row],[Salary]]+HR_Data[[#This Row],[Bonus]]</f>
        <v>101017</v>
      </c>
    </row>
    <row r="553" spans="1:11" x14ac:dyDescent="0.25">
      <c r="A553">
        <v>1552</v>
      </c>
      <c r="B553" t="s">
        <v>593</v>
      </c>
      <c r="C553" t="s">
        <v>10</v>
      </c>
      <c r="D553" t="s">
        <v>14</v>
      </c>
      <c r="E553" t="s">
        <v>19</v>
      </c>
      <c r="F553" t="s">
        <v>23</v>
      </c>
      <c r="G553">
        <v>52</v>
      </c>
      <c r="H553" s="13">
        <v>53513</v>
      </c>
      <c r="I553" s="13">
        <v>12252</v>
      </c>
      <c r="J553" t="s">
        <v>25</v>
      </c>
      <c r="K553" s="13">
        <f>HR_Data[[#This Row],[Salary]]+HR_Data[[#This Row],[Bonus]]</f>
        <v>65765</v>
      </c>
    </row>
    <row r="554" spans="1:11" x14ac:dyDescent="0.25">
      <c r="A554">
        <v>1553</v>
      </c>
      <c r="B554" t="s">
        <v>594</v>
      </c>
      <c r="C554" t="s">
        <v>2042</v>
      </c>
      <c r="D554" t="s">
        <v>15</v>
      </c>
      <c r="E554" t="s">
        <v>19</v>
      </c>
      <c r="F554" t="s">
        <v>23</v>
      </c>
      <c r="G554">
        <v>55</v>
      </c>
      <c r="H554" s="13">
        <v>28749</v>
      </c>
      <c r="I554" s="13">
        <v>16721</v>
      </c>
      <c r="J554" t="s">
        <v>25</v>
      </c>
      <c r="K554" s="13">
        <f>HR_Data[[#This Row],[Salary]]+HR_Data[[#This Row],[Bonus]]</f>
        <v>45470</v>
      </c>
    </row>
    <row r="555" spans="1:11" x14ac:dyDescent="0.25">
      <c r="A555">
        <v>1554</v>
      </c>
      <c r="B555" t="s">
        <v>595</v>
      </c>
      <c r="C555" t="s">
        <v>27</v>
      </c>
      <c r="D555" t="s">
        <v>14</v>
      </c>
      <c r="E555" t="s">
        <v>20</v>
      </c>
      <c r="F555" t="s">
        <v>22</v>
      </c>
      <c r="G555">
        <v>28</v>
      </c>
      <c r="H555" s="13">
        <v>50783</v>
      </c>
      <c r="I555" s="13">
        <v>22939</v>
      </c>
      <c r="J555" t="s">
        <v>25</v>
      </c>
      <c r="K555" s="13">
        <f>HR_Data[[#This Row],[Salary]]+HR_Data[[#This Row],[Bonus]]</f>
        <v>73722</v>
      </c>
    </row>
    <row r="556" spans="1:11" x14ac:dyDescent="0.25">
      <c r="A556">
        <v>1555</v>
      </c>
      <c r="B556" t="s">
        <v>596</v>
      </c>
      <c r="C556" t="s">
        <v>10</v>
      </c>
      <c r="D556" t="s">
        <v>14</v>
      </c>
      <c r="E556" t="s">
        <v>20</v>
      </c>
      <c r="F556" t="s">
        <v>23</v>
      </c>
      <c r="G556">
        <v>57</v>
      </c>
      <c r="H556" s="13">
        <v>80645</v>
      </c>
      <c r="I556" s="13">
        <v>16825</v>
      </c>
      <c r="J556" t="s">
        <v>26</v>
      </c>
      <c r="K556" s="13">
        <f>HR_Data[[#This Row],[Salary]]+HR_Data[[#This Row],[Bonus]]</f>
        <v>97470</v>
      </c>
    </row>
    <row r="557" spans="1:11" x14ac:dyDescent="0.25">
      <c r="A557">
        <v>1556</v>
      </c>
      <c r="B557" t="s">
        <v>597</v>
      </c>
      <c r="C557" t="s">
        <v>10</v>
      </c>
      <c r="D557" t="s">
        <v>15</v>
      </c>
      <c r="E557" t="s">
        <v>16</v>
      </c>
      <c r="F557" t="s">
        <v>22</v>
      </c>
      <c r="G557">
        <v>39</v>
      </c>
      <c r="H557" s="13">
        <v>102861</v>
      </c>
      <c r="I557" s="13">
        <v>9187</v>
      </c>
      <c r="J557" t="s">
        <v>25</v>
      </c>
      <c r="K557" s="13">
        <f>HR_Data[[#This Row],[Salary]]+HR_Data[[#This Row],[Bonus]]</f>
        <v>112048</v>
      </c>
    </row>
    <row r="558" spans="1:11" x14ac:dyDescent="0.25">
      <c r="A558">
        <v>1557</v>
      </c>
      <c r="B558" t="s">
        <v>598</v>
      </c>
      <c r="C558" t="s">
        <v>11</v>
      </c>
      <c r="D558" t="s">
        <v>14</v>
      </c>
      <c r="E558" t="s">
        <v>16</v>
      </c>
      <c r="F558" t="s">
        <v>22</v>
      </c>
      <c r="G558">
        <v>59</v>
      </c>
      <c r="H558" s="13">
        <v>73175</v>
      </c>
      <c r="I558" s="13">
        <v>29151</v>
      </c>
      <c r="J558" t="s">
        <v>25</v>
      </c>
      <c r="K558" s="13">
        <f>HR_Data[[#This Row],[Salary]]+HR_Data[[#This Row],[Bonus]]</f>
        <v>102326</v>
      </c>
    </row>
    <row r="559" spans="1:11" x14ac:dyDescent="0.25">
      <c r="A559">
        <v>1558</v>
      </c>
      <c r="B559" t="s">
        <v>599</v>
      </c>
      <c r="C559" t="s">
        <v>9</v>
      </c>
      <c r="D559" t="s">
        <v>14</v>
      </c>
      <c r="E559" t="s">
        <v>19</v>
      </c>
      <c r="F559" t="s">
        <v>23</v>
      </c>
      <c r="G559">
        <v>30</v>
      </c>
      <c r="H559" s="13">
        <v>104216</v>
      </c>
      <c r="I559" s="13">
        <v>5036</v>
      </c>
      <c r="J559" t="s">
        <v>26</v>
      </c>
      <c r="K559" s="13">
        <f>HR_Data[[#This Row],[Salary]]+HR_Data[[#This Row],[Bonus]]</f>
        <v>109252</v>
      </c>
    </row>
    <row r="560" spans="1:11" x14ac:dyDescent="0.25">
      <c r="A560">
        <v>1559</v>
      </c>
      <c r="B560" t="s">
        <v>600</v>
      </c>
      <c r="C560" t="s">
        <v>9</v>
      </c>
      <c r="D560" t="s">
        <v>15</v>
      </c>
      <c r="E560" t="s">
        <v>19</v>
      </c>
      <c r="F560" t="s">
        <v>22</v>
      </c>
      <c r="G560">
        <v>30</v>
      </c>
      <c r="H560" s="13">
        <v>82709</v>
      </c>
      <c r="I560" s="13">
        <v>23171</v>
      </c>
      <c r="J560" t="s">
        <v>26</v>
      </c>
      <c r="K560" s="13">
        <f>HR_Data[[#This Row],[Salary]]+HR_Data[[#This Row],[Bonus]]</f>
        <v>105880</v>
      </c>
    </row>
    <row r="561" spans="1:11" x14ac:dyDescent="0.25">
      <c r="A561">
        <v>1560</v>
      </c>
      <c r="B561" t="s">
        <v>601</v>
      </c>
      <c r="C561" t="s">
        <v>12</v>
      </c>
      <c r="D561" t="s">
        <v>14</v>
      </c>
      <c r="E561" t="s">
        <v>16</v>
      </c>
      <c r="F561" t="s">
        <v>22</v>
      </c>
      <c r="G561">
        <v>29</v>
      </c>
      <c r="H561" s="13">
        <v>37323</v>
      </c>
      <c r="I561" s="13">
        <v>11283</v>
      </c>
      <c r="J561" t="s">
        <v>25</v>
      </c>
      <c r="K561" s="13">
        <f>HR_Data[[#This Row],[Salary]]+HR_Data[[#This Row],[Bonus]]</f>
        <v>48606</v>
      </c>
    </row>
    <row r="562" spans="1:11" x14ac:dyDescent="0.25">
      <c r="A562">
        <v>1561</v>
      </c>
      <c r="B562" t="s">
        <v>602</v>
      </c>
      <c r="C562" t="s">
        <v>8</v>
      </c>
      <c r="D562" t="s">
        <v>14</v>
      </c>
      <c r="E562" t="s">
        <v>16</v>
      </c>
      <c r="F562" t="s">
        <v>22</v>
      </c>
      <c r="G562">
        <v>56</v>
      </c>
      <c r="H562" s="13">
        <v>70762</v>
      </c>
      <c r="I562" s="13">
        <v>20202</v>
      </c>
      <c r="J562" t="s">
        <v>25</v>
      </c>
      <c r="K562" s="13">
        <f>HR_Data[[#This Row],[Salary]]+HR_Data[[#This Row],[Bonus]]</f>
        <v>90964</v>
      </c>
    </row>
    <row r="563" spans="1:11" x14ac:dyDescent="0.25">
      <c r="A563">
        <v>1562</v>
      </c>
      <c r="B563" t="s">
        <v>603</v>
      </c>
      <c r="C563" t="s">
        <v>10</v>
      </c>
      <c r="D563" t="s">
        <v>15</v>
      </c>
      <c r="E563" t="s">
        <v>18</v>
      </c>
      <c r="F563" t="s">
        <v>24</v>
      </c>
      <c r="G563">
        <v>39</v>
      </c>
      <c r="H563" s="13">
        <v>108220</v>
      </c>
      <c r="I563" s="13">
        <v>13060</v>
      </c>
      <c r="J563" t="s">
        <v>25</v>
      </c>
      <c r="K563" s="13">
        <f>HR_Data[[#This Row],[Salary]]+HR_Data[[#This Row],[Bonus]]</f>
        <v>121280</v>
      </c>
    </row>
    <row r="564" spans="1:11" x14ac:dyDescent="0.25">
      <c r="A564">
        <v>1563</v>
      </c>
      <c r="B564" t="s">
        <v>604</v>
      </c>
      <c r="C564" t="s">
        <v>2042</v>
      </c>
      <c r="D564" t="s">
        <v>14</v>
      </c>
      <c r="E564" t="s">
        <v>18</v>
      </c>
      <c r="F564" t="s">
        <v>22</v>
      </c>
      <c r="G564">
        <v>26</v>
      </c>
      <c r="H564" s="13">
        <v>84222</v>
      </c>
      <c r="I564" s="13">
        <v>13065</v>
      </c>
      <c r="J564" t="s">
        <v>26</v>
      </c>
      <c r="K564" s="13">
        <f>HR_Data[[#This Row],[Salary]]+HR_Data[[#This Row],[Bonus]]</f>
        <v>97287</v>
      </c>
    </row>
    <row r="565" spans="1:11" x14ac:dyDescent="0.25">
      <c r="A565">
        <v>1564</v>
      </c>
      <c r="B565" t="s">
        <v>605</v>
      </c>
      <c r="C565" t="s">
        <v>10</v>
      </c>
      <c r="D565" t="s">
        <v>14</v>
      </c>
      <c r="E565" t="s">
        <v>16</v>
      </c>
      <c r="F565" t="s">
        <v>24</v>
      </c>
      <c r="G565">
        <v>35</v>
      </c>
      <c r="H565" s="13">
        <v>54493</v>
      </c>
      <c r="I565" s="13">
        <v>8880</v>
      </c>
      <c r="J565" t="s">
        <v>25</v>
      </c>
      <c r="K565" s="13">
        <f>HR_Data[[#This Row],[Salary]]+HR_Data[[#This Row],[Bonus]]</f>
        <v>63373</v>
      </c>
    </row>
    <row r="566" spans="1:11" x14ac:dyDescent="0.25">
      <c r="A566">
        <v>1565</v>
      </c>
      <c r="B566" t="s">
        <v>606</v>
      </c>
      <c r="C566" t="s">
        <v>2042</v>
      </c>
      <c r="D566" t="s">
        <v>15</v>
      </c>
      <c r="E566" t="s">
        <v>18</v>
      </c>
      <c r="F566" t="s">
        <v>24</v>
      </c>
      <c r="G566">
        <v>49</v>
      </c>
      <c r="H566" s="13">
        <v>78328</v>
      </c>
      <c r="I566" s="13">
        <v>10932</v>
      </c>
      <c r="J566" t="s">
        <v>25</v>
      </c>
      <c r="K566" s="13">
        <f>HR_Data[[#This Row],[Salary]]+HR_Data[[#This Row],[Bonus]]</f>
        <v>89260</v>
      </c>
    </row>
    <row r="567" spans="1:11" x14ac:dyDescent="0.25">
      <c r="A567">
        <v>1566</v>
      </c>
      <c r="B567" t="s">
        <v>607</v>
      </c>
      <c r="C567" t="s">
        <v>9</v>
      </c>
      <c r="D567" t="s">
        <v>15</v>
      </c>
      <c r="E567" t="s">
        <v>17</v>
      </c>
      <c r="F567" t="s">
        <v>22</v>
      </c>
      <c r="G567">
        <v>51</v>
      </c>
      <c r="H567" s="13">
        <v>32213</v>
      </c>
      <c r="I567" s="13">
        <v>13328</v>
      </c>
      <c r="J567" t="s">
        <v>25</v>
      </c>
      <c r="K567" s="13">
        <f>HR_Data[[#This Row],[Salary]]+HR_Data[[#This Row],[Bonus]]</f>
        <v>45541</v>
      </c>
    </row>
    <row r="568" spans="1:11" x14ac:dyDescent="0.25">
      <c r="A568">
        <v>1567</v>
      </c>
      <c r="B568" t="s">
        <v>608</v>
      </c>
      <c r="C568" t="s">
        <v>2042</v>
      </c>
      <c r="D568" t="s">
        <v>15</v>
      </c>
      <c r="E568" t="s">
        <v>19</v>
      </c>
      <c r="F568" t="s">
        <v>22</v>
      </c>
      <c r="G568">
        <v>25</v>
      </c>
      <c r="H568" s="13">
        <v>117367</v>
      </c>
      <c r="I568" s="13">
        <v>11333</v>
      </c>
      <c r="J568" t="s">
        <v>25</v>
      </c>
      <c r="K568" s="13">
        <f>HR_Data[[#This Row],[Salary]]+HR_Data[[#This Row],[Bonus]]</f>
        <v>128700</v>
      </c>
    </row>
    <row r="569" spans="1:11" x14ac:dyDescent="0.25">
      <c r="A569">
        <v>1568</v>
      </c>
      <c r="B569" t="s">
        <v>609</v>
      </c>
      <c r="C569" t="s">
        <v>8</v>
      </c>
      <c r="D569" t="s">
        <v>14</v>
      </c>
      <c r="E569" t="s">
        <v>19</v>
      </c>
      <c r="F569" t="s">
        <v>24</v>
      </c>
      <c r="G569">
        <v>41</v>
      </c>
      <c r="H569" s="13">
        <v>66930</v>
      </c>
      <c r="I569" s="13">
        <v>27143</v>
      </c>
      <c r="J569" t="s">
        <v>25</v>
      </c>
      <c r="K569" s="13">
        <f>HR_Data[[#This Row],[Salary]]+HR_Data[[#This Row],[Bonus]]</f>
        <v>94073</v>
      </c>
    </row>
    <row r="570" spans="1:11" x14ac:dyDescent="0.25">
      <c r="A570">
        <v>1569</v>
      </c>
      <c r="B570" t="s">
        <v>610</v>
      </c>
      <c r="C570" t="s">
        <v>12</v>
      </c>
      <c r="D570" t="s">
        <v>15</v>
      </c>
      <c r="E570" t="s">
        <v>16</v>
      </c>
      <c r="F570" t="s">
        <v>24</v>
      </c>
      <c r="G570">
        <v>46</v>
      </c>
      <c r="H570" s="13">
        <v>47713</v>
      </c>
      <c r="I570" s="13">
        <v>27869</v>
      </c>
      <c r="J570" t="s">
        <v>25</v>
      </c>
      <c r="K570" s="13">
        <f>HR_Data[[#This Row],[Salary]]+HR_Data[[#This Row],[Bonus]]</f>
        <v>75582</v>
      </c>
    </row>
    <row r="571" spans="1:11" x14ac:dyDescent="0.25">
      <c r="A571">
        <v>1570</v>
      </c>
      <c r="B571" t="s">
        <v>611</v>
      </c>
      <c r="C571" t="s">
        <v>2042</v>
      </c>
      <c r="D571" t="s">
        <v>14</v>
      </c>
      <c r="E571" t="s">
        <v>20</v>
      </c>
      <c r="F571" t="s">
        <v>22</v>
      </c>
      <c r="G571">
        <v>49</v>
      </c>
      <c r="H571" s="13">
        <v>92723</v>
      </c>
      <c r="I571" s="13">
        <v>18870</v>
      </c>
      <c r="J571" t="s">
        <v>25</v>
      </c>
      <c r="K571" s="13">
        <f>HR_Data[[#This Row],[Salary]]+HR_Data[[#This Row],[Bonus]]</f>
        <v>111593</v>
      </c>
    </row>
    <row r="572" spans="1:11" x14ac:dyDescent="0.25">
      <c r="A572">
        <v>1571</v>
      </c>
      <c r="B572" t="s">
        <v>612</v>
      </c>
      <c r="C572" t="s">
        <v>2042</v>
      </c>
      <c r="D572" t="s">
        <v>15</v>
      </c>
      <c r="E572" t="s">
        <v>16</v>
      </c>
      <c r="F572" t="s">
        <v>22</v>
      </c>
      <c r="G572">
        <v>33</v>
      </c>
      <c r="H572" s="13">
        <v>118336</v>
      </c>
      <c r="I572" s="13">
        <v>16268</v>
      </c>
      <c r="J572" t="s">
        <v>25</v>
      </c>
      <c r="K572" s="13">
        <f>HR_Data[[#This Row],[Salary]]+HR_Data[[#This Row],[Bonus]]</f>
        <v>134604</v>
      </c>
    </row>
    <row r="573" spans="1:11" x14ac:dyDescent="0.25">
      <c r="A573">
        <v>1572</v>
      </c>
      <c r="B573" t="s">
        <v>613</v>
      </c>
      <c r="C573" t="s">
        <v>12</v>
      </c>
      <c r="D573" t="s">
        <v>14</v>
      </c>
      <c r="E573" t="s">
        <v>18</v>
      </c>
      <c r="F573" t="s">
        <v>23</v>
      </c>
      <c r="G573">
        <v>23</v>
      </c>
      <c r="H573" s="13">
        <v>52583</v>
      </c>
      <c r="I573" s="13">
        <v>10067</v>
      </c>
      <c r="J573" t="s">
        <v>25</v>
      </c>
      <c r="K573" s="13">
        <f>HR_Data[[#This Row],[Salary]]+HR_Data[[#This Row],[Bonus]]</f>
        <v>62650</v>
      </c>
    </row>
    <row r="574" spans="1:11" x14ac:dyDescent="0.25">
      <c r="A574">
        <v>1573</v>
      </c>
      <c r="B574" t="s">
        <v>614</v>
      </c>
      <c r="C574" t="s">
        <v>8</v>
      </c>
      <c r="D574" t="s">
        <v>15</v>
      </c>
      <c r="E574" t="s">
        <v>20</v>
      </c>
      <c r="F574" t="s">
        <v>24</v>
      </c>
      <c r="G574">
        <v>35</v>
      </c>
      <c r="H574" s="13">
        <v>99944</v>
      </c>
      <c r="I574" s="13">
        <v>20616</v>
      </c>
      <c r="J574" t="s">
        <v>25</v>
      </c>
      <c r="K574" s="13">
        <f>HR_Data[[#This Row],[Salary]]+HR_Data[[#This Row],[Bonus]]</f>
        <v>120560</v>
      </c>
    </row>
    <row r="575" spans="1:11" x14ac:dyDescent="0.25">
      <c r="A575">
        <v>1574</v>
      </c>
      <c r="B575" t="s">
        <v>615</v>
      </c>
      <c r="C575" t="s">
        <v>10</v>
      </c>
      <c r="D575" t="s">
        <v>15</v>
      </c>
      <c r="E575" t="s">
        <v>18</v>
      </c>
      <c r="F575" t="s">
        <v>24</v>
      </c>
      <c r="G575">
        <v>43</v>
      </c>
      <c r="H575" s="13">
        <v>42369</v>
      </c>
      <c r="I575" s="13">
        <v>17075</v>
      </c>
      <c r="J575" t="s">
        <v>25</v>
      </c>
      <c r="K575" s="13">
        <f>HR_Data[[#This Row],[Salary]]+HR_Data[[#This Row],[Bonus]]</f>
        <v>59444</v>
      </c>
    </row>
    <row r="576" spans="1:11" x14ac:dyDescent="0.25">
      <c r="A576">
        <v>1575</v>
      </c>
      <c r="B576" t="s">
        <v>616</v>
      </c>
      <c r="C576" t="s">
        <v>2042</v>
      </c>
      <c r="D576" t="s">
        <v>15</v>
      </c>
      <c r="E576" t="s">
        <v>17</v>
      </c>
      <c r="F576" t="s">
        <v>23</v>
      </c>
      <c r="G576">
        <v>52</v>
      </c>
      <c r="H576" s="13">
        <v>67928</v>
      </c>
      <c r="I576" s="13">
        <v>22045</v>
      </c>
      <c r="J576" t="s">
        <v>25</v>
      </c>
      <c r="K576" s="13">
        <f>HR_Data[[#This Row],[Salary]]+HR_Data[[#This Row],[Bonus]]</f>
        <v>89973</v>
      </c>
    </row>
    <row r="577" spans="1:11" x14ac:dyDescent="0.25">
      <c r="A577">
        <v>1576</v>
      </c>
      <c r="B577" t="s">
        <v>617</v>
      </c>
      <c r="C577" t="s">
        <v>12</v>
      </c>
      <c r="D577" t="s">
        <v>15</v>
      </c>
      <c r="E577" t="s">
        <v>18</v>
      </c>
      <c r="F577" t="s">
        <v>24</v>
      </c>
      <c r="G577">
        <v>44</v>
      </c>
      <c r="H577" s="13">
        <v>88950</v>
      </c>
      <c r="I577" s="13">
        <v>12973</v>
      </c>
      <c r="J577" t="s">
        <v>26</v>
      </c>
      <c r="K577" s="13">
        <f>HR_Data[[#This Row],[Salary]]+HR_Data[[#This Row],[Bonus]]</f>
        <v>101923</v>
      </c>
    </row>
    <row r="578" spans="1:11" x14ac:dyDescent="0.25">
      <c r="A578">
        <v>1577</v>
      </c>
      <c r="B578" t="s">
        <v>618</v>
      </c>
      <c r="C578" t="s">
        <v>9</v>
      </c>
      <c r="D578" t="s">
        <v>14</v>
      </c>
      <c r="E578" t="s">
        <v>17</v>
      </c>
      <c r="F578" t="s">
        <v>21</v>
      </c>
      <c r="G578">
        <v>41</v>
      </c>
      <c r="H578" s="13">
        <v>39510</v>
      </c>
      <c r="I578" s="13">
        <v>27770</v>
      </c>
      <c r="J578" t="s">
        <v>25</v>
      </c>
      <c r="K578" s="13">
        <f>HR_Data[[#This Row],[Salary]]+HR_Data[[#This Row],[Bonus]]</f>
        <v>67280</v>
      </c>
    </row>
    <row r="579" spans="1:11" x14ac:dyDescent="0.25">
      <c r="A579">
        <v>1578</v>
      </c>
      <c r="B579" t="s">
        <v>619</v>
      </c>
      <c r="C579" t="s">
        <v>12</v>
      </c>
      <c r="D579" t="s">
        <v>15</v>
      </c>
      <c r="E579" t="s">
        <v>17</v>
      </c>
      <c r="F579" t="s">
        <v>24</v>
      </c>
      <c r="G579">
        <v>59</v>
      </c>
      <c r="H579" s="13">
        <v>32120</v>
      </c>
      <c r="I579" s="13">
        <v>15002</v>
      </c>
      <c r="J579" t="s">
        <v>25</v>
      </c>
      <c r="K579" s="13">
        <f>HR_Data[[#This Row],[Salary]]+HR_Data[[#This Row],[Bonus]]</f>
        <v>47122</v>
      </c>
    </row>
    <row r="580" spans="1:11" x14ac:dyDescent="0.25">
      <c r="A580">
        <v>1579</v>
      </c>
      <c r="B580" t="s">
        <v>620</v>
      </c>
      <c r="C580" t="s">
        <v>9</v>
      </c>
      <c r="D580" t="s">
        <v>15</v>
      </c>
      <c r="E580" t="s">
        <v>18</v>
      </c>
      <c r="F580" t="s">
        <v>23</v>
      </c>
      <c r="G580">
        <v>25</v>
      </c>
      <c r="H580" s="13">
        <v>119847</v>
      </c>
      <c r="I580" s="13">
        <v>12887</v>
      </c>
      <c r="J580" t="s">
        <v>25</v>
      </c>
      <c r="K580" s="13">
        <f>HR_Data[[#This Row],[Salary]]+HR_Data[[#This Row],[Bonus]]</f>
        <v>132734</v>
      </c>
    </row>
    <row r="581" spans="1:11" x14ac:dyDescent="0.25">
      <c r="A581">
        <v>1580</v>
      </c>
      <c r="B581" t="s">
        <v>621</v>
      </c>
      <c r="C581" t="s">
        <v>8</v>
      </c>
      <c r="D581" t="s">
        <v>14</v>
      </c>
      <c r="E581" t="s">
        <v>18</v>
      </c>
      <c r="F581" t="s">
        <v>21</v>
      </c>
      <c r="G581">
        <v>36</v>
      </c>
      <c r="H581" s="13">
        <v>118575</v>
      </c>
      <c r="I581" s="13">
        <v>5414</v>
      </c>
      <c r="J581" t="s">
        <v>25</v>
      </c>
      <c r="K581" s="13">
        <f>HR_Data[[#This Row],[Salary]]+HR_Data[[#This Row],[Bonus]]</f>
        <v>123989</v>
      </c>
    </row>
    <row r="582" spans="1:11" x14ac:dyDescent="0.25">
      <c r="A582">
        <v>1581</v>
      </c>
      <c r="B582" t="s">
        <v>622</v>
      </c>
      <c r="C582" t="s">
        <v>10</v>
      </c>
      <c r="D582" t="s">
        <v>15</v>
      </c>
      <c r="E582" t="s">
        <v>17</v>
      </c>
      <c r="F582" t="s">
        <v>22</v>
      </c>
      <c r="G582">
        <v>45</v>
      </c>
      <c r="H582" s="13">
        <v>25295</v>
      </c>
      <c r="I582" s="13">
        <v>11850</v>
      </c>
      <c r="J582" t="s">
        <v>26</v>
      </c>
      <c r="K582" s="13">
        <f>HR_Data[[#This Row],[Salary]]+HR_Data[[#This Row],[Bonus]]</f>
        <v>37145</v>
      </c>
    </row>
    <row r="583" spans="1:11" x14ac:dyDescent="0.25">
      <c r="A583">
        <v>1582</v>
      </c>
      <c r="B583" t="s">
        <v>623</v>
      </c>
      <c r="C583" t="s">
        <v>12</v>
      </c>
      <c r="D583" t="s">
        <v>14</v>
      </c>
      <c r="E583" t="s">
        <v>20</v>
      </c>
      <c r="F583" t="s">
        <v>23</v>
      </c>
      <c r="G583">
        <v>46</v>
      </c>
      <c r="H583" s="13">
        <v>40460</v>
      </c>
      <c r="I583" s="13">
        <v>29918</v>
      </c>
      <c r="J583" t="s">
        <v>26</v>
      </c>
      <c r="K583" s="13">
        <f>HR_Data[[#This Row],[Salary]]+HR_Data[[#This Row],[Bonus]]</f>
        <v>70378</v>
      </c>
    </row>
    <row r="584" spans="1:11" x14ac:dyDescent="0.25">
      <c r="A584">
        <v>1583</v>
      </c>
      <c r="B584" t="s">
        <v>624</v>
      </c>
      <c r="C584" t="s">
        <v>11</v>
      </c>
      <c r="D584" t="s">
        <v>15</v>
      </c>
      <c r="E584" t="s">
        <v>17</v>
      </c>
      <c r="F584" t="s">
        <v>23</v>
      </c>
      <c r="G584">
        <v>22</v>
      </c>
      <c r="H584" s="13">
        <v>34963</v>
      </c>
      <c r="I584" s="13">
        <v>7729</v>
      </c>
      <c r="J584" t="s">
        <v>25</v>
      </c>
      <c r="K584" s="13">
        <f>HR_Data[[#This Row],[Salary]]+HR_Data[[#This Row],[Bonus]]</f>
        <v>42692</v>
      </c>
    </row>
    <row r="585" spans="1:11" x14ac:dyDescent="0.25">
      <c r="A585">
        <v>1584</v>
      </c>
      <c r="B585" t="s">
        <v>625</v>
      </c>
      <c r="C585" t="s">
        <v>2042</v>
      </c>
      <c r="D585" t="s">
        <v>15</v>
      </c>
      <c r="E585" t="s">
        <v>19</v>
      </c>
      <c r="F585" t="s">
        <v>22</v>
      </c>
      <c r="G585">
        <v>28</v>
      </c>
      <c r="H585" s="13">
        <v>97116</v>
      </c>
      <c r="I585" s="13">
        <v>16929</v>
      </c>
      <c r="J585" t="s">
        <v>25</v>
      </c>
      <c r="K585" s="13">
        <f>HR_Data[[#This Row],[Salary]]+HR_Data[[#This Row],[Bonus]]</f>
        <v>114045</v>
      </c>
    </row>
    <row r="586" spans="1:11" x14ac:dyDescent="0.25">
      <c r="A586">
        <v>1585</v>
      </c>
      <c r="B586" t="s">
        <v>626</v>
      </c>
      <c r="C586" t="s">
        <v>8</v>
      </c>
      <c r="D586" t="s">
        <v>15</v>
      </c>
      <c r="E586" t="s">
        <v>17</v>
      </c>
      <c r="F586" t="s">
        <v>23</v>
      </c>
      <c r="G586">
        <v>52</v>
      </c>
      <c r="H586" s="13">
        <v>107822</v>
      </c>
      <c r="I586" s="13">
        <v>19988</v>
      </c>
      <c r="J586" t="s">
        <v>26</v>
      </c>
      <c r="K586" s="13">
        <f>HR_Data[[#This Row],[Salary]]+HR_Data[[#This Row],[Bonus]]</f>
        <v>127810</v>
      </c>
    </row>
    <row r="587" spans="1:11" x14ac:dyDescent="0.25">
      <c r="A587">
        <v>1586</v>
      </c>
      <c r="B587" t="s">
        <v>627</v>
      </c>
      <c r="C587" t="s">
        <v>12</v>
      </c>
      <c r="D587" t="s">
        <v>14</v>
      </c>
      <c r="E587" t="s">
        <v>20</v>
      </c>
      <c r="F587" t="s">
        <v>24</v>
      </c>
      <c r="G587">
        <v>33</v>
      </c>
      <c r="H587" s="13">
        <v>47328</v>
      </c>
      <c r="I587" s="13">
        <v>8897</v>
      </c>
      <c r="J587" t="s">
        <v>25</v>
      </c>
      <c r="K587" s="13">
        <f>HR_Data[[#This Row],[Salary]]+HR_Data[[#This Row],[Bonus]]</f>
        <v>56225</v>
      </c>
    </row>
    <row r="588" spans="1:11" x14ac:dyDescent="0.25">
      <c r="A588">
        <v>1587</v>
      </c>
      <c r="B588" t="s">
        <v>628</v>
      </c>
      <c r="C588" t="s">
        <v>2042</v>
      </c>
      <c r="D588" t="s">
        <v>15</v>
      </c>
      <c r="E588" t="s">
        <v>19</v>
      </c>
      <c r="F588" t="s">
        <v>22</v>
      </c>
      <c r="G588">
        <v>26</v>
      </c>
      <c r="H588" s="13">
        <v>104629</v>
      </c>
      <c r="I588" s="13">
        <v>7169</v>
      </c>
      <c r="J588" t="s">
        <v>25</v>
      </c>
      <c r="K588" s="13">
        <f>HR_Data[[#This Row],[Salary]]+HR_Data[[#This Row],[Bonus]]</f>
        <v>111798</v>
      </c>
    </row>
    <row r="589" spans="1:11" x14ac:dyDescent="0.25">
      <c r="A589">
        <v>1588</v>
      </c>
      <c r="B589" t="s">
        <v>629</v>
      </c>
      <c r="C589" t="s">
        <v>12</v>
      </c>
      <c r="D589" t="s">
        <v>15</v>
      </c>
      <c r="E589" t="s">
        <v>16</v>
      </c>
      <c r="F589" t="s">
        <v>23</v>
      </c>
      <c r="G589">
        <v>59</v>
      </c>
      <c r="H589" s="13">
        <v>41605</v>
      </c>
      <c r="I589" s="13">
        <v>18563</v>
      </c>
      <c r="J589" t="s">
        <v>25</v>
      </c>
      <c r="K589" s="13">
        <f>HR_Data[[#This Row],[Salary]]+HR_Data[[#This Row],[Bonus]]</f>
        <v>60168</v>
      </c>
    </row>
    <row r="590" spans="1:11" x14ac:dyDescent="0.25">
      <c r="A590">
        <v>1589</v>
      </c>
      <c r="B590" t="s">
        <v>630</v>
      </c>
      <c r="C590" t="s">
        <v>9</v>
      </c>
      <c r="D590" t="s">
        <v>15</v>
      </c>
      <c r="E590" t="s">
        <v>16</v>
      </c>
      <c r="F590" t="s">
        <v>22</v>
      </c>
      <c r="G590">
        <v>33</v>
      </c>
      <c r="H590" s="13">
        <v>64813</v>
      </c>
      <c r="I590" s="13">
        <v>23262</v>
      </c>
      <c r="J590" t="s">
        <v>25</v>
      </c>
      <c r="K590" s="13">
        <f>HR_Data[[#This Row],[Salary]]+HR_Data[[#This Row],[Bonus]]</f>
        <v>88075</v>
      </c>
    </row>
    <row r="591" spans="1:11" x14ac:dyDescent="0.25">
      <c r="A591">
        <v>1590</v>
      </c>
      <c r="B591" t="s">
        <v>631</v>
      </c>
      <c r="C591" t="s">
        <v>12</v>
      </c>
      <c r="D591" t="s">
        <v>14</v>
      </c>
      <c r="E591" t="s">
        <v>20</v>
      </c>
      <c r="F591" t="s">
        <v>22</v>
      </c>
      <c r="G591">
        <v>39</v>
      </c>
      <c r="H591" s="13">
        <v>66371</v>
      </c>
      <c r="I591" s="13">
        <v>27838</v>
      </c>
      <c r="J591" t="s">
        <v>25</v>
      </c>
      <c r="K591" s="13">
        <f>HR_Data[[#This Row],[Salary]]+HR_Data[[#This Row],[Bonus]]</f>
        <v>94209</v>
      </c>
    </row>
    <row r="592" spans="1:11" x14ac:dyDescent="0.25">
      <c r="A592">
        <v>1591</v>
      </c>
      <c r="B592" t="s">
        <v>632</v>
      </c>
      <c r="C592" t="s">
        <v>11</v>
      </c>
      <c r="D592" t="s">
        <v>14</v>
      </c>
      <c r="E592" t="s">
        <v>17</v>
      </c>
      <c r="F592" t="s">
        <v>22</v>
      </c>
      <c r="G592">
        <v>23</v>
      </c>
      <c r="H592" s="13">
        <v>67598</v>
      </c>
      <c r="I592" s="13">
        <v>17888</v>
      </c>
      <c r="J592" t="s">
        <v>25</v>
      </c>
      <c r="K592" s="13">
        <f>HR_Data[[#This Row],[Salary]]+HR_Data[[#This Row],[Bonus]]</f>
        <v>85486</v>
      </c>
    </row>
    <row r="593" spans="1:11" x14ac:dyDescent="0.25">
      <c r="A593">
        <v>1592</v>
      </c>
      <c r="B593" t="s">
        <v>633</v>
      </c>
      <c r="C593" t="s">
        <v>12</v>
      </c>
      <c r="D593" t="s">
        <v>15</v>
      </c>
      <c r="E593" t="s">
        <v>18</v>
      </c>
      <c r="F593" t="s">
        <v>21</v>
      </c>
      <c r="G593">
        <v>31</v>
      </c>
      <c r="H593" s="13">
        <v>80776</v>
      </c>
      <c r="I593" s="13">
        <v>9570</v>
      </c>
      <c r="J593" t="s">
        <v>25</v>
      </c>
      <c r="K593" s="13">
        <f>HR_Data[[#This Row],[Salary]]+HR_Data[[#This Row],[Bonus]]</f>
        <v>90346</v>
      </c>
    </row>
    <row r="594" spans="1:11" x14ac:dyDescent="0.25">
      <c r="A594">
        <v>1593</v>
      </c>
      <c r="B594" t="s">
        <v>634</v>
      </c>
      <c r="C594" t="s">
        <v>12</v>
      </c>
      <c r="D594" t="s">
        <v>14</v>
      </c>
      <c r="E594" t="s">
        <v>20</v>
      </c>
      <c r="F594" t="s">
        <v>23</v>
      </c>
      <c r="G594">
        <v>36</v>
      </c>
      <c r="H594" s="13">
        <v>92258</v>
      </c>
      <c r="I594" s="13">
        <v>6515</v>
      </c>
      <c r="J594" t="s">
        <v>26</v>
      </c>
      <c r="K594" s="13">
        <f>HR_Data[[#This Row],[Salary]]+HR_Data[[#This Row],[Bonus]]</f>
        <v>98773</v>
      </c>
    </row>
    <row r="595" spans="1:11" x14ac:dyDescent="0.25">
      <c r="A595">
        <v>1594</v>
      </c>
      <c r="B595" t="s">
        <v>635</v>
      </c>
      <c r="C595" t="s">
        <v>11</v>
      </c>
      <c r="D595" t="s">
        <v>15</v>
      </c>
      <c r="E595" t="s">
        <v>19</v>
      </c>
      <c r="F595" t="s">
        <v>21</v>
      </c>
      <c r="G595">
        <v>51</v>
      </c>
      <c r="H595" s="13">
        <v>60969</v>
      </c>
      <c r="I595" s="13">
        <v>21958</v>
      </c>
      <c r="J595" t="s">
        <v>25</v>
      </c>
      <c r="K595" s="13">
        <f>HR_Data[[#This Row],[Salary]]+HR_Data[[#This Row],[Bonus]]</f>
        <v>82927</v>
      </c>
    </row>
    <row r="596" spans="1:11" x14ac:dyDescent="0.25">
      <c r="A596">
        <v>1595</v>
      </c>
      <c r="B596" t="s">
        <v>636</v>
      </c>
      <c r="C596" t="s">
        <v>8</v>
      </c>
      <c r="D596" t="s">
        <v>15</v>
      </c>
      <c r="E596" t="s">
        <v>19</v>
      </c>
      <c r="F596" t="s">
        <v>23</v>
      </c>
      <c r="G596">
        <v>38</v>
      </c>
      <c r="H596" s="13">
        <v>56912</v>
      </c>
      <c r="I596" s="13">
        <v>17634</v>
      </c>
      <c r="J596" t="s">
        <v>26</v>
      </c>
      <c r="K596" s="13">
        <f>HR_Data[[#This Row],[Salary]]+HR_Data[[#This Row],[Bonus]]</f>
        <v>74546</v>
      </c>
    </row>
    <row r="597" spans="1:11" x14ac:dyDescent="0.25">
      <c r="A597">
        <v>1596</v>
      </c>
      <c r="B597" t="s">
        <v>637</v>
      </c>
      <c r="C597" t="s">
        <v>12</v>
      </c>
      <c r="D597" t="s">
        <v>15</v>
      </c>
      <c r="E597" t="s">
        <v>16</v>
      </c>
      <c r="F597" t="s">
        <v>24</v>
      </c>
      <c r="G597">
        <v>25</v>
      </c>
      <c r="H597" s="13">
        <v>58374</v>
      </c>
      <c r="I597" s="13">
        <v>24251</v>
      </c>
      <c r="J597" t="s">
        <v>26</v>
      </c>
      <c r="K597" s="13">
        <f>HR_Data[[#This Row],[Salary]]+HR_Data[[#This Row],[Bonus]]</f>
        <v>82625</v>
      </c>
    </row>
    <row r="598" spans="1:11" x14ac:dyDescent="0.25">
      <c r="A598">
        <v>1597</v>
      </c>
      <c r="B598" t="s">
        <v>638</v>
      </c>
      <c r="C598" t="s">
        <v>11</v>
      </c>
      <c r="D598" t="s">
        <v>15</v>
      </c>
      <c r="E598" t="s">
        <v>19</v>
      </c>
      <c r="F598" t="s">
        <v>24</v>
      </c>
      <c r="G598">
        <v>28</v>
      </c>
      <c r="H598" s="13">
        <v>92302</v>
      </c>
      <c r="I598" s="13">
        <v>18798</v>
      </c>
      <c r="J598" t="s">
        <v>25</v>
      </c>
      <c r="K598" s="13">
        <f>HR_Data[[#This Row],[Salary]]+HR_Data[[#This Row],[Bonus]]</f>
        <v>111100</v>
      </c>
    </row>
    <row r="599" spans="1:11" x14ac:dyDescent="0.25">
      <c r="A599">
        <v>1598</v>
      </c>
      <c r="B599" t="s">
        <v>639</v>
      </c>
      <c r="C599" t="s">
        <v>2042</v>
      </c>
      <c r="D599" t="s">
        <v>15</v>
      </c>
      <c r="E599" t="s">
        <v>20</v>
      </c>
      <c r="F599" t="s">
        <v>24</v>
      </c>
      <c r="G599">
        <v>52</v>
      </c>
      <c r="H599" s="13">
        <v>82784</v>
      </c>
      <c r="I599" s="13">
        <v>24928</v>
      </c>
      <c r="J599" t="s">
        <v>25</v>
      </c>
      <c r="K599" s="13">
        <f>HR_Data[[#This Row],[Salary]]+HR_Data[[#This Row],[Bonus]]</f>
        <v>107712</v>
      </c>
    </row>
    <row r="600" spans="1:11" x14ac:dyDescent="0.25">
      <c r="A600">
        <v>1599</v>
      </c>
      <c r="B600" t="s">
        <v>640</v>
      </c>
      <c r="C600" t="s">
        <v>9</v>
      </c>
      <c r="D600" t="s">
        <v>15</v>
      </c>
      <c r="E600" t="s">
        <v>19</v>
      </c>
      <c r="F600" t="s">
        <v>23</v>
      </c>
      <c r="G600">
        <v>55</v>
      </c>
      <c r="H600" s="13">
        <v>69882</v>
      </c>
      <c r="I600" s="13">
        <v>9477</v>
      </c>
      <c r="J600" t="s">
        <v>25</v>
      </c>
      <c r="K600" s="13">
        <f>HR_Data[[#This Row],[Salary]]+HR_Data[[#This Row],[Bonus]]</f>
        <v>79359</v>
      </c>
    </row>
    <row r="601" spans="1:11" x14ac:dyDescent="0.25">
      <c r="A601">
        <v>1600</v>
      </c>
      <c r="B601" t="s">
        <v>641</v>
      </c>
      <c r="C601" t="s">
        <v>9</v>
      </c>
      <c r="D601" t="s">
        <v>15</v>
      </c>
      <c r="E601" t="s">
        <v>20</v>
      </c>
      <c r="F601" t="s">
        <v>22</v>
      </c>
      <c r="G601">
        <v>27</v>
      </c>
      <c r="H601" s="13">
        <v>35928</v>
      </c>
      <c r="I601" s="13">
        <v>21455</v>
      </c>
      <c r="J601" t="s">
        <v>25</v>
      </c>
      <c r="K601" s="13">
        <f>HR_Data[[#This Row],[Salary]]+HR_Data[[#This Row],[Bonus]]</f>
        <v>57383</v>
      </c>
    </row>
    <row r="602" spans="1:11" x14ac:dyDescent="0.25">
      <c r="A602">
        <v>1601</v>
      </c>
      <c r="B602" t="s">
        <v>642</v>
      </c>
      <c r="C602" t="s">
        <v>12</v>
      </c>
      <c r="D602" t="s">
        <v>14</v>
      </c>
      <c r="E602" t="s">
        <v>18</v>
      </c>
      <c r="F602" t="s">
        <v>22</v>
      </c>
      <c r="G602">
        <v>59</v>
      </c>
      <c r="H602" s="13">
        <v>41274</v>
      </c>
      <c r="I602" s="13">
        <v>24364</v>
      </c>
      <c r="J602" t="s">
        <v>25</v>
      </c>
      <c r="K602" s="13">
        <f>HR_Data[[#This Row],[Salary]]+HR_Data[[#This Row],[Bonus]]</f>
        <v>65638</v>
      </c>
    </row>
    <row r="603" spans="1:11" x14ac:dyDescent="0.25">
      <c r="A603">
        <v>1602</v>
      </c>
      <c r="B603" t="s">
        <v>643</v>
      </c>
      <c r="C603" t="s">
        <v>8</v>
      </c>
      <c r="D603" t="s">
        <v>14</v>
      </c>
      <c r="E603" t="s">
        <v>16</v>
      </c>
      <c r="F603" t="s">
        <v>21</v>
      </c>
      <c r="G603">
        <v>55</v>
      </c>
      <c r="H603" s="13">
        <v>54416</v>
      </c>
      <c r="I603" s="13">
        <v>26876</v>
      </c>
      <c r="J603" t="s">
        <v>25</v>
      </c>
      <c r="K603" s="13">
        <f>HR_Data[[#This Row],[Salary]]+HR_Data[[#This Row],[Bonus]]</f>
        <v>81292</v>
      </c>
    </row>
    <row r="604" spans="1:11" x14ac:dyDescent="0.25">
      <c r="A604">
        <v>1603</v>
      </c>
      <c r="B604" t="s">
        <v>644</v>
      </c>
      <c r="C604" t="s">
        <v>8</v>
      </c>
      <c r="D604" t="s">
        <v>14</v>
      </c>
      <c r="E604" t="s">
        <v>19</v>
      </c>
      <c r="F604" t="s">
        <v>21</v>
      </c>
      <c r="G604">
        <v>36</v>
      </c>
      <c r="H604" s="13">
        <v>106148</v>
      </c>
      <c r="I604" s="13">
        <v>14551</v>
      </c>
      <c r="J604" t="s">
        <v>25</v>
      </c>
      <c r="K604" s="13">
        <f>HR_Data[[#This Row],[Salary]]+HR_Data[[#This Row],[Bonus]]</f>
        <v>120699</v>
      </c>
    </row>
    <row r="605" spans="1:11" x14ac:dyDescent="0.25">
      <c r="A605">
        <v>1604</v>
      </c>
      <c r="B605" t="s">
        <v>645</v>
      </c>
      <c r="C605" t="s">
        <v>2042</v>
      </c>
      <c r="D605" t="s">
        <v>14</v>
      </c>
      <c r="E605" t="s">
        <v>20</v>
      </c>
      <c r="F605" t="s">
        <v>24</v>
      </c>
      <c r="G605">
        <v>35</v>
      </c>
      <c r="H605" s="13">
        <v>80998</v>
      </c>
      <c r="I605" s="13">
        <v>26143</v>
      </c>
      <c r="J605" t="s">
        <v>25</v>
      </c>
      <c r="K605" s="13">
        <f>HR_Data[[#This Row],[Salary]]+HR_Data[[#This Row],[Bonus]]</f>
        <v>107141</v>
      </c>
    </row>
    <row r="606" spans="1:11" x14ac:dyDescent="0.25">
      <c r="A606">
        <v>1605</v>
      </c>
      <c r="B606" t="s">
        <v>646</v>
      </c>
      <c r="C606" t="s">
        <v>12</v>
      </c>
      <c r="D606" t="s">
        <v>14</v>
      </c>
      <c r="E606" t="s">
        <v>17</v>
      </c>
      <c r="F606" t="s">
        <v>21</v>
      </c>
      <c r="G606">
        <v>27</v>
      </c>
      <c r="H606" s="13">
        <v>49047</v>
      </c>
      <c r="I606" s="13">
        <v>29468</v>
      </c>
      <c r="J606" t="s">
        <v>26</v>
      </c>
      <c r="K606" s="13">
        <f>HR_Data[[#This Row],[Salary]]+HR_Data[[#This Row],[Bonus]]</f>
        <v>78515</v>
      </c>
    </row>
    <row r="607" spans="1:11" x14ac:dyDescent="0.25">
      <c r="A607">
        <v>1606</v>
      </c>
      <c r="B607" t="s">
        <v>647</v>
      </c>
      <c r="C607" t="s">
        <v>9</v>
      </c>
      <c r="D607" t="s">
        <v>14</v>
      </c>
      <c r="E607" t="s">
        <v>16</v>
      </c>
      <c r="F607" t="s">
        <v>23</v>
      </c>
      <c r="G607">
        <v>58</v>
      </c>
      <c r="H607" s="13">
        <v>63356</v>
      </c>
      <c r="I607" s="13">
        <v>19179</v>
      </c>
      <c r="J607" t="s">
        <v>25</v>
      </c>
      <c r="K607" s="13">
        <f>HR_Data[[#This Row],[Salary]]+HR_Data[[#This Row],[Bonus]]</f>
        <v>82535</v>
      </c>
    </row>
    <row r="608" spans="1:11" x14ac:dyDescent="0.25">
      <c r="A608">
        <v>1607</v>
      </c>
      <c r="B608" t="s">
        <v>648</v>
      </c>
      <c r="C608" t="s">
        <v>8</v>
      </c>
      <c r="D608" t="s">
        <v>14</v>
      </c>
      <c r="E608" t="s">
        <v>18</v>
      </c>
      <c r="F608" t="s">
        <v>23</v>
      </c>
      <c r="G608">
        <v>53</v>
      </c>
      <c r="H608" s="13">
        <v>57134</v>
      </c>
      <c r="I608" s="13">
        <v>5039</v>
      </c>
      <c r="J608" t="s">
        <v>25</v>
      </c>
      <c r="K608" s="13">
        <f>HR_Data[[#This Row],[Salary]]+HR_Data[[#This Row],[Bonus]]</f>
        <v>62173</v>
      </c>
    </row>
    <row r="609" spans="1:11" x14ac:dyDescent="0.25">
      <c r="A609">
        <v>1608</v>
      </c>
      <c r="B609" t="s">
        <v>649</v>
      </c>
      <c r="C609" t="s">
        <v>12</v>
      </c>
      <c r="D609" t="s">
        <v>15</v>
      </c>
      <c r="E609" t="s">
        <v>20</v>
      </c>
      <c r="F609" t="s">
        <v>21</v>
      </c>
      <c r="G609">
        <v>24</v>
      </c>
      <c r="H609" s="13">
        <v>87042</v>
      </c>
      <c r="I609" s="13">
        <v>15222</v>
      </c>
      <c r="J609" t="s">
        <v>25</v>
      </c>
      <c r="K609" s="13">
        <f>HR_Data[[#This Row],[Salary]]+HR_Data[[#This Row],[Bonus]]</f>
        <v>102264</v>
      </c>
    </row>
    <row r="610" spans="1:11" x14ac:dyDescent="0.25">
      <c r="A610">
        <v>1609</v>
      </c>
      <c r="B610" t="s">
        <v>650</v>
      </c>
      <c r="C610" t="s">
        <v>8</v>
      </c>
      <c r="D610" t="s">
        <v>15</v>
      </c>
      <c r="E610" t="s">
        <v>18</v>
      </c>
      <c r="F610" t="s">
        <v>21</v>
      </c>
      <c r="G610">
        <v>24</v>
      </c>
      <c r="H610" s="13">
        <v>71310</v>
      </c>
      <c r="I610" s="13">
        <v>26757</v>
      </c>
      <c r="J610" t="s">
        <v>25</v>
      </c>
      <c r="K610" s="13">
        <f>HR_Data[[#This Row],[Salary]]+HR_Data[[#This Row],[Bonus]]</f>
        <v>98067</v>
      </c>
    </row>
    <row r="611" spans="1:11" x14ac:dyDescent="0.25">
      <c r="A611">
        <v>1610</v>
      </c>
      <c r="B611" t="s">
        <v>651</v>
      </c>
      <c r="C611" t="s">
        <v>11</v>
      </c>
      <c r="D611" t="s">
        <v>15</v>
      </c>
      <c r="E611" t="s">
        <v>18</v>
      </c>
      <c r="F611" t="s">
        <v>21</v>
      </c>
      <c r="G611">
        <v>43</v>
      </c>
      <c r="H611" s="13">
        <v>100758</v>
      </c>
      <c r="I611" s="13">
        <v>28949</v>
      </c>
      <c r="J611" t="s">
        <v>27</v>
      </c>
      <c r="K611" s="13">
        <f>HR_Data[[#This Row],[Salary]]+HR_Data[[#This Row],[Bonus]]</f>
        <v>129707</v>
      </c>
    </row>
    <row r="612" spans="1:11" x14ac:dyDescent="0.25">
      <c r="A612">
        <v>1611</v>
      </c>
      <c r="B612" t="s">
        <v>652</v>
      </c>
      <c r="C612" t="s">
        <v>8</v>
      </c>
      <c r="D612" t="s">
        <v>15</v>
      </c>
      <c r="E612" t="s">
        <v>19</v>
      </c>
      <c r="F612" t="s">
        <v>21</v>
      </c>
      <c r="G612">
        <v>43</v>
      </c>
      <c r="H612" s="13">
        <v>32363</v>
      </c>
      <c r="I612" s="13">
        <v>21116</v>
      </c>
      <c r="J612" t="s">
        <v>25</v>
      </c>
      <c r="K612" s="13">
        <f>HR_Data[[#This Row],[Salary]]+HR_Data[[#This Row],[Bonus]]</f>
        <v>53479</v>
      </c>
    </row>
    <row r="613" spans="1:11" x14ac:dyDescent="0.25">
      <c r="A613">
        <v>1612</v>
      </c>
      <c r="B613" t="s">
        <v>653</v>
      </c>
      <c r="C613" t="s">
        <v>9</v>
      </c>
      <c r="D613" t="s">
        <v>14</v>
      </c>
      <c r="E613" t="s">
        <v>19</v>
      </c>
      <c r="F613" t="s">
        <v>24</v>
      </c>
      <c r="G613">
        <v>31</v>
      </c>
      <c r="H613" s="13">
        <v>105149</v>
      </c>
      <c r="I613" s="13">
        <v>23284</v>
      </c>
      <c r="J613" t="s">
        <v>25</v>
      </c>
      <c r="K613" s="13">
        <f>HR_Data[[#This Row],[Salary]]+HR_Data[[#This Row],[Bonus]]</f>
        <v>128433</v>
      </c>
    </row>
    <row r="614" spans="1:11" x14ac:dyDescent="0.25">
      <c r="A614">
        <v>1613</v>
      </c>
      <c r="B614" t="s">
        <v>654</v>
      </c>
      <c r="C614" t="s">
        <v>10</v>
      </c>
      <c r="D614" t="s">
        <v>14</v>
      </c>
      <c r="E614" t="s">
        <v>20</v>
      </c>
      <c r="F614" t="s">
        <v>24</v>
      </c>
      <c r="G614">
        <v>24</v>
      </c>
      <c r="H614" s="13">
        <v>64563</v>
      </c>
      <c r="I614" s="13">
        <v>23601</v>
      </c>
      <c r="J614" t="s">
        <v>25</v>
      </c>
      <c r="K614" s="13">
        <f>HR_Data[[#This Row],[Salary]]+HR_Data[[#This Row],[Bonus]]</f>
        <v>88164</v>
      </c>
    </row>
    <row r="615" spans="1:11" x14ac:dyDescent="0.25">
      <c r="A615">
        <v>1614</v>
      </c>
      <c r="B615" t="s">
        <v>655</v>
      </c>
      <c r="C615" t="s">
        <v>2042</v>
      </c>
      <c r="D615" t="s">
        <v>15</v>
      </c>
      <c r="E615" t="s">
        <v>17</v>
      </c>
      <c r="F615" t="s">
        <v>21</v>
      </c>
      <c r="G615">
        <v>33</v>
      </c>
      <c r="H615" s="13">
        <v>50628</v>
      </c>
      <c r="I615" s="13">
        <v>21049</v>
      </c>
      <c r="J615" t="s">
        <v>27</v>
      </c>
      <c r="K615" s="13">
        <f>HR_Data[[#This Row],[Salary]]+HR_Data[[#This Row],[Bonus]]</f>
        <v>71677</v>
      </c>
    </row>
    <row r="616" spans="1:11" x14ac:dyDescent="0.25">
      <c r="A616">
        <v>1615</v>
      </c>
      <c r="B616" t="s">
        <v>656</v>
      </c>
      <c r="C616" t="s">
        <v>2042</v>
      </c>
      <c r="D616" t="s">
        <v>15</v>
      </c>
      <c r="E616" t="s">
        <v>20</v>
      </c>
      <c r="F616" t="s">
        <v>23</v>
      </c>
      <c r="G616">
        <v>50</v>
      </c>
      <c r="H616" s="13">
        <v>89672</v>
      </c>
      <c r="I616" s="13">
        <v>9796</v>
      </c>
      <c r="J616" t="s">
        <v>25</v>
      </c>
      <c r="K616" s="13">
        <f>HR_Data[[#This Row],[Salary]]+HR_Data[[#This Row],[Bonus]]</f>
        <v>99468</v>
      </c>
    </row>
    <row r="617" spans="1:11" x14ac:dyDescent="0.25">
      <c r="A617">
        <v>1616</v>
      </c>
      <c r="B617" t="s">
        <v>657</v>
      </c>
      <c r="C617" t="s">
        <v>9</v>
      </c>
      <c r="D617" t="s">
        <v>14</v>
      </c>
      <c r="E617" t="s">
        <v>17</v>
      </c>
      <c r="F617" t="s">
        <v>24</v>
      </c>
      <c r="G617">
        <v>38</v>
      </c>
      <c r="H617" s="13">
        <v>66246</v>
      </c>
      <c r="I617" s="13">
        <v>9606</v>
      </c>
      <c r="J617" t="s">
        <v>25</v>
      </c>
      <c r="K617" s="13">
        <f>HR_Data[[#This Row],[Salary]]+HR_Data[[#This Row],[Bonus]]</f>
        <v>75852</v>
      </c>
    </row>
    <row r="618" spans="1:11" x14ac:dyDescent="0.25">
      <c r="A618">
        <v>1617</v>
      </c>
      <c r="B618" t="s">
        <v>658</v>
      </c>
      <c r="C618" t="s">
        <v>8</v>
      </c>
      <c r="D618" t="s">
        <v>15</v>
      </c>
      <c r="E618" t="s">
        <v>18</v>
      </c>
      <c r="F618" t="s">
        <v>23</v>
      </c>
      <c r="G618">
        <v>28</v>
      </c>
      <c r="H618" s="13">
        <v>31161</v>
      </c>
      <c r="I618" s="13">
        <v>22667</v>
      </c>
      <c r="J618" t="s">
        <v>25</v>
      </c>
      <c r="K618" s="13">
        <f>HR_Data[[#This Row],[Salary]]+HR_Data[[#This Row],[Bonus]]</f>
        <v>53828</v>
      </c>
    </row>
    <row r="619" spans="1:11" x14ac:dyDescent="0.25">
      <c r="A619">
        <v>1618</v>
      </c>
      <c r="B619" t="s">
        <v>659</v>
      </c>
      <c r="C619" t="s">
        <v>12</v>
      </c>
      <c r="D619" t="s">
        <v>15</v>
      </c>
      <c r="E619" t="s">
        <v>16</v>
      </c>
      <c r="F619" t="s">
        <v>22</v>
      </c>
      <c r="G619">
        <v>34</v>
      </c>
      <c r="H619" s="13">
        <v>109110</v>
      </c>
      <c r="I619" s="13">
        <v>13775</v>
      </c>
      <c r="J619" t="s">
        <v>25</v>
      </c>
      <c r="K619" s="13">
        <f>HR_Data[[#This Row],[Salary]]+HR_Data[[#This Row],[Bonus]]</f>
        <v>122885</v>
      </c>
    </row>
    <row r="620" spans="1:11" x14ac:dyDescent="0.25">
      <c r="A620">
        <v>1619</v>
      </c>
      <c r="B620" t="s">
        <v>660</v>
      </c>
      <c r="C620" t="s">
        <v>8</v>
      </c>
      <c r="D620" t="s">
        <v>15</v>
      </c>
      <c r="E620" t="s">
        <v>20</v>
      </c>
      <c r="F620" t="s">
        <v>23</v>
      </c>
      <c r="G620">
        <v>23</v>
      </c>
      <c r="H620" s="13">
        <v>112438</v>
      </c>
      <c r="I620" s="13">
        <v>19864</v>
      </c>
      <c r="J620" t="s">
        <v>25</v>
      </c>
      <c r="K620" s="13">
        <f>HR_Data[[#This Row],[Salary]]+HR_Data[[#This Row],[Bonus]]</f>
        <v>132302</v>
      </c>
    </row>
    <row r="621" spans="1:11" x14ac:dyDescent="0.25">
      <c r="A621">
        <v>1620</v>
      </c>
      <c r="B621" t="s">
        <v>661</v>
      </c>
      <c r="C621" t="s">
        <v>9</v>
      </c>
      <c r="D621" t="s">
        <v>15</v>
      </c>
      <c r="E621" t="s">
        <v>20</v>
      </c>
      <c r="F621" t="s">
        <v>21</v>
      </c>
      <c r="G621">
        <v>25</v>
      </c>
      <c r="H621" s="13">
        <v>22810</v>
      </c>
      <c r="I621" s="13">
        <v>19193</v>
      </c>
      <c r="J621" t="s">
        <v>26</v>
      </c>
      <c r="K621" s="13">
        <f>HR_Data[[#This Row],[Salary]]+HR_Data[[#This Row],[Bonus]]</f>
        <v>42003</v>
      </c>
    </row>
    <row r="622" spans="1:11" x14ac:dyDescent="0.25">
      <c r="A622">
        <v>1621</v>
      </c>
      <c r="B622" t="s">
        <v>662</v>
      </c>
      <c r="C622" t="s">
        <v>2042</v>
      </c>
      <c r="D622" t="s">
        <v>14</v>
      </c>
      <c r="E622" t="s">
        <v>17</v>
      </c>
      <c r="F622" t="s">
        <v>22</v>
      </c>
      <c r="G622">
        <v>31</v>
      </c>
      <c r="H622" s="13">
        <v>79860</v>
      </c>
      <c r="I622" s="13">
        <v>19676</v>
      </c>
      <c r="J622" t="s">
        <v>25</v>
      </c>
      <c r="K622" s="13">
        <f>HR_Data[[#This Row],[Salary]]+HR_Data[[#This Row],[Bonus]]</f>
        <v>99536</v>
      </c>
    </row>
    <row r="623" spans="1:11" x14ac:dyDescent="0.25">
      <c r="A623">
        <v>1622</v>
      </c>
      <c r="B623" t="s">
        <v>663</v>
      </c>
      <c r="C623" t="s">
        <v>8</v>
      </c>
      <c r="D623" t="s">
        <v>15</v>
      </c>
      <c r="E623" t="s">
        <v>18</v>
      </c>
      <c r="F623" t="s">
        <v>24</v>
      </c>
      <c r="G623">
        <v>45</v>
      </c>
      <c r="H623" s="13">
        <v>97199</v>
      </c>
      <c r="I623" s="13">
        <v>15457</v>
      </c>
      <c r="J623" t="s">
        <v>25</v>
      </c>
      <c r="K623" s="13">
        <f>HR_Data[[#This Row],[Salary]]+HR_Data[[#This Row],[Bonus]]</f>
        <v>112656</v>
      </c>
    </row>
    <row r="624" spans="1:11" x14ac:dyDescent="0.25">
      <c r="A624">
        <v>1623</v>
      </c>
      <c r="B624" t="s">
        <v>664</v>
      </c>
      <c r="C624" t="s">
        <v>2042</v>
      </c>
      <c r="D624" t="s">
        <v>15</v>
      </c>
      <c r="E624" t="s">
        <v>18</v>
      </c>
      <c r="F624" t="s">
        <v>24</v>
      </c>
      <c r="G624">
        <v>38</v>
      </c>
      <c r="H624" s="13">
        <v>91688</v>
      </c>
      <c r="I624" s="13">
        <v>22199</v>
      </c>
      <c r="J624" t="s">
        <v>25</v>
      </c>
      <c r="K624" s="13">
        <f>HR_Data[[#This Row],[Salary]]+HR_Data[[#This Row],[Bonus]]</f>
        <v>113887</v>
      </c>
    </row>
    <row r="625" spans="1:11" x14ac:dyDescent="0.25">
      <c r="A625">
        <v>1624</v>
      </c>
      <c r="B625" t="s">
        <v>665</v>
      </c>
      <c r="C625" t="s">
        <v>12</v>
      </c>
      <c r="D625" t="s">
        <v>14</v>
      </c>
      <c r="E625" t="s">
        <v>17</v>
      </c>
      <c r="F625" t="s">
        <v>22</v>
      </c>
      <c r="G625">
        <v>27</v>
      </c>
      <c r="H625" s="13">
        <v>85548</v>
      </c>
      <c r="I625" s="13">
        <v>21044</v>
      </c>
      <c r="J625" t="s">
        <v>25</v>
      </c>
      <c r="K625" s="13">
        <f>HR_Data[[#This Row],[Salary]]+HR_Data[[#This Row],[Bonus]]</f>
        <v>106592</v>
      </c>
    </row>
    <row r="626" spans="1:11" x14ac:dyDescent="0.25">
      <c r="A626">
        <v>1625</v>
      </c>
      <c r="B626" t="s">
        <v>666</v>
      </c>
      <c r="C626" t="s">
        <v>2042</v>
      </c>
      <c r="D626" t="s">
        <v>14</v>
      </c>
      <c r="E626" t="s">
        <v>18</v>
      </c>
      <c r="F626" t="s">
        <v>23</v>
      </c>
      <c r="G626">
        <v>40</v>
      </c>
      <c r="H626" s="13">
        <v>82363</v>
      </c>
      <c r="I626" s="13">
        <v>20066</v>
      </c>
      <c r="J626" t="s">
        <v>25</v>
      </c>
      <c r="K626" s="13">
        <f>HR_Data[[#This Row],[Salary]]+HR_Data[[#This Row],[Bonus]]</f>
        <v>102429</v>
      </c>
    </row>
    <row r="627" spans="1:11" x14ac:dyDescent="0.25">
      <c r="A627">
        <v>1626</v>
      </c>
      <c r="B627" t="s">
        <v>667</v>
      </c>
      <c r="C627" t="s">
        <v>2042</v>
      </c>
      <c r="D627" t="s">
        <v>15</v>
      </c>
      <c r="E627" t="s">
        <v>19</v>
      </c>
      <c r="F627" t="s">
        <v>24</v>
      </c>
      <c r="G627">
        <v>26</v>
      </c>
      <c r="H627" s="13">
        <v>31162</v>
      </c>
      <c r="I627" s="13">
        <v>23895</v>
      </c>
      <c r="J627" t="s">
        <v>25</v>
      </c>
      <c r="K627" s="13">
        <f>HR_Data[[#This Row],[Salary]]+HR_Data[[#This Row],[Bonus]]</f>
        <v>55057</v>
      </c>
    </row>
    <row r="628" spans="1:11" x14ac:dyDescent="0.25">
      <c r="A628">
        <v>1627</v>
      </c>
      <c r="B628" t="s">
        <v>668</v>
      </c>
      <c r="C628" t="s">
        <v>10</v>
      </c>
      <c r="D628" t="s">
        <v>14</v>
      </c>
      <c r="E628" t="s">
        <v>16</v>
      </c>
      <c r="F628" t="s">
        <v>21</v>
      </c>
      <c r="G628">
        <v>53</v>
      </c>
      <c r="H628" s="13">
        <v>107858</v>
      </c>
      <c r="I628" s="13">
        <v>5246</v>
      </c>
      <c r="J628" t="s">
        <v>25</v>
      </c>
      <c r="K628" s="13">
        <f>HR_Data[[#This Row],[Salary]]+HR_Data[[#This Row],[Bonus]]</f>
        <v>113104</v>
      </c>
    </row>
    <row r="629" spans="1:11" x14ac:dyDescent="0.25">
      <c r="A629">
        <v>1628</v>
      </c>
      <c r="B629" t="s">
        <v>669</v>
      </c>
      <c r="C629" t="s">
        <v>10</v>
      </c>
      <c r="D629" t="s">
        <v>15</v>
      </c>
      <c r="E629" t="s">
        <v>20</v>
      </c>
      <c r="F629" t="s">
        <v>22</v>
      </c>
      <c r="G629">
        <v>31</v>
      </c>
      <c r="H629" s="13">
        <v>93535</v>
      </c>
      <c r="I629" s="13">
        <v>26209</v>
      </c>
      <c r="J629" t="s">
        <v>25</v>
      </c>
      <c r="K629" s="13">
        <f>HR_Data[[#This Row],[Salary]]+HR_Data[[#This Row],[Bonus]]</f>
        <v>119744</v>
      </c>
    </row>
    <row r="630" spans="1:11" x14ac:dyDescent="0.25">
      <c r="A630">
        <v>1629</v>
      </c>
      <c r="B630" t="s">
        <v>670</v>
      </c>
      <c r="C630" t="s">
        <v>11</v>
      </c>
      <c r="D630" t="s">
        <v>15</v>
      </c>
      <c r="E630" t="s">
        <v>16</v>
      </c>
      <c r="F630" t="s">
        <v>21</v>
      </c>
      <c r="G630">
        <v>30</v>
      </c>
      <c r="H630" s="13">
        <v>69554.53</v>
      </c>
      <c r="I630" s="13">
        <v>11516</v>
      </c>
      <c r="J630" t="s">
        <v>25</v>
      </c>
      <c r="K630" s="13">
        <f>HR_Data[[#This Row],[Salary]]+HR_Data[[#This Row],[Bonus]]</f>
        <v>81070.53</v>
      </c>
    </row>
    <row r="631" spans="1:11" x14ac:dyDescent="0.25">
      <c r="A631">
        <v>1630</v>
      </c>
      <c r="B631" t="s">
        <v>671</v>
      </c>
      <c r="C631" t="s">
        <v>10</v>
      </c>
      <c r="D631" t="s">
        <v>14</v>
      </c>
      <c r="E631" t="s">
        <v>20</v>
      </c>
      <c r="F631" t="s">
        <v>22</v>
      </c>
      <c r="G631">
        <v>48</v>
      </c>
      <c r="H631" s="13">
        <v>90864</v>
      </c>
      <c r="I631" s="13">
        <v>21800</v>
      </c>
      <c r="J631" t="s">
        <v>25</v>
      </c>
      <c r="K631" s="13">
        <f>HR_Data[[#This Row],[Salary]]+HR_Data[[#This Row],[Bonus]]</f>
        <v>112664</v>
      </c>
    </row>
    <row r="632" spans="1:11" x14ac:dyDescent="0.25">
      <c r="A632">
        <v>1631</v>
      </c>
      <c r="B632" t="s">
        <v>672</v>
      </c>
      <c r="C632" t="s">
        <v>2042</v>
      </c>
      <c r="D632" t="s">
        <v>15</v>
      </c>
      <c r="E632" t="s">
        <v>19</v>
      </c>
      <c r="F632" t="s">
        <v>24</v>
      </c>
      <c r="G632">
        <v>34</v>
      </c>
      <c r="H632" s="13">
        <v>23621</v>
      </c>
      <c r="I632" s="13">
        <v>18342</v>
      </c>
      <c r="J632" t="s">
        <v>25</v>
      </c>
      <c r="K632" s="13">
        <f>HR_Data[[#This Row],[Salary]]+HR_Data[[#This Row],[Bonus]]</f>
        <v>41963</v>
      </c>
    </row>
    <row r="633" spans="1:11" x14ac:dyDescent="0.25">
      <c r="A633">
        <v>1632</v>
      </c>
      <c r="B633" t="s">
        <v>673</v>
      </c>
      <c r="C633" t="s">
        <v>9</v>
      </c>
      <c r="D633" t="s">
        <v>15</v>
      </c>
      <c r="E633" t="s">
        <v>18</v>
      </c>
      <c r="F633" t="s">
        <v>23</v>
      </c>
      <c r="G633">
        <v>40</v>
      </c>
      <c r="H633" s="13">
        <v>109792</v>
      </c>
      <c r="I633" s="13">
        <v>28086</v>
      </c>
      <c r="J633" t="s">
        <v>25</v>
      </c>
      <c r="K633" s="13">
        <f>HR_Data[[#This Row],[Salary]]+HR_Data[[#This Row],[Bonus]]</f>
        <v>137878</v>
      </c>
    </row>
    <row r="634" spans="1:11" x14ac:dyDescent="0.25">
      <c r="A634">
        <v>1633</v>
      </c>
      <c r="B634" t="s">
        <v>674</v>
      </c>
      <c r="C634" t="s">
        <v>2042</v>
      </c>
      <c r="D634" t="s">
        <v>15</v>
      </c>
      <c r="E634" t="s">
        <v>17</v>
      </c>
      <c r="F634" t="s">
        <v>22</v>
      </c>
      <c r="G634">
        <v>42</v>
      </c>
      <c r="H634" s="13">
        <v>64433</v>
      </c>
      <c r="I634" s="13">
        <v>25101</v>
      </c>
      <c r="J634" t="s">
        <v>25</v>
      </c>
      <c r="K634" s="13">
        <f>HR_Data[[#This Row],[Salary]]+HR_Data[[#This Row],[Bonus]]</f>
        <v>89534</v>
      </c>
    </row>
    <row r="635" spans="1:11" x14ac:dyDescent="0.25">
      <c r="A635">
        <v>1634</v>
      </c>
      <c r="B635" t="s">
        <v>675</v>
      </c>
      <c r="C635" t="s">
        <v>9</v>
      </c>
      <c r="D635" t="s">
        <v>15</v>
      </c>
      <c r="E635" t="s">
        <v>19</v>
      </c>
      <c r="F635" t="s">
        <v>22</v>
      </c>
      <c r="G635">
        <v>45</v>
      </c>
      <c r="H635" s="13">
        <v>96850</v>
      </c>
      <c r="I635" s="13">
        <v>21491</v>
      </c>
      <c r="J635" t="s">
        <v>26</v>
      </c>
      <c r="K635" s="13">
        <f>HR_Data[[#This Row],[Salary]]+HR_Data[[#This Row],[Bonus]]</f>
        <v>118341</v>
      </c>
    </row>
    <row r="636" spans="1:11" x14ac:dyDescent="0.25">
      <c r="A636">
        <v>1635</v>
      </c>
      <c r="B636" t="s">
        <v>676</v>
      </c>
      <c r="C636" t="s">
        <v>9</v>
      </c>
      <c r="D636" t="s">
        <v>14</v>
      </c>
      <c r="E636" t="s">
        <v>16</v>
      </c>
      <c r="F636" t="s">
        <v>21</v>
      </c>
      <c r="G636">
        <v>59</v>
      </c>
      <c r="H636" s="13">
        <v>86188</v>
      </c>
      <c r="I636" s="13">
        <v>14030</v>
      </c>
      <c r="J636" t="s">
        <v>25</v>
      </c>
      <c r="K636" s="13">
        <f>HR_Data[[#This Row],[Salary]]+HR_Data[[#This Row],[Bonus]]</f>
        <v>100218</v>
      </c>
    </row>
    <row r="637" spans="1:11" x14ac:dyDescent="0.25">
      <c r="A637">
        <v>1636</v>
      </c>
      <c r="B637" t="s">
        <v>677</v>
      </c>
      <c r="C637" t="s">
        <v>10</v>
      </c>
      <c r="D637" t="s">
        <v>14</v>
      </c>
      <c r="E637" t="s">
        <v>17</v>
      </c>
      <c r="F637" t="s">
        <v>24</v>
      </c>
      <c r="G637">
        <v>25</v>
      </c>
      <c r="H637" s="13">
        <v>74951</v>
      </c>
      <c r="I637" s="13">
        <v>25897</v>
      </c>
      <c r="J637" t="s">
        <v>25</v>
      </c>
      <c r="K637" s="13">
        <f>HR_Data[[#This Row],[Salary]]+HR_Data[[#This Row],[Bonus]]</f>
        <v>100848</v>
      </c>
    </row>
    <row r="638" spans="1:11" x14ac:dyDescent="0.25">
      <c r="A638">
        <v>1637</v>
      </c>
      <c r="B638" t="s">
        <v>678</v>
      </c>
      <c r="C638" t="s">
        <v>8</v>
      </c>
      <c r="D638" t="s">
        <v>15</v>
      </c>
      <c r="E638" t="s">
        <v>18</v>
      </c>
      <c r="F638" t="s">
        <v>21</v>
      </c>
      <c r="G638">
        <v>45</v>
      </c>
      <c r="H638" s="13">
        <v>101718</v>
      </c>
      <c r="I638" s="13">
        <v>6421</v>
      </c>
      <c r="J638" t="s">
        <v>25</v>
      </c>
      <c r="K638" s="13">
        <f>HR_Data[[#This Row],[Salary]]+HR_Data[[#This Row],[Bonus]]</f>
        <v>108139</v>
      </c>
    </row>
    <row r="639" spans="1:11" x14ac:dyDescent="0.25">
      <c r="A639">
        <v>1638</v>
      </c>
      <c r="B639" t="s">
        <v>679</v>
      </c>
      <c r="C639" t="s">
        <v>12</v>
      </c>
      <c r="D639" t="s">
        <v>14</v>
      </c>
      <c r="E639" t="s">
        <v>19</v>
      </c>
      <c r="F639" t="s">
        <v>24</v>
      </c>
      <c r="G639">
        <v>56</v>
      </c>
      <c r="H639" s="13">
        <v>56558</v>
      </c>
      <c r="I639" s="13">
        <v>17970</v>
      </c>
      <c r="J639" t="s">
        <v>25</v>
      </c>
      <c r="K639" s="13">
        <f>HR_Data[[#This Row],[Salary]]+HR_Data[[#This Row],[Bonus]]</f>
        <v>74528</v>
      </c>
    </row>
    <row r="640" spans="1:11" x14ac:dyDescent="0.25">
      <c r="A640">
        <v>1639</v>
      </c>
      <c r="B640" t="s">
        <v>680</v>
      </c>
      <c r="C640" t="s">
        <v>10</v>
      </c>
      <c r="D640" t="s">
        <v>15</v>
      </c>
      <c r="E640" t="s">
        <v>17</v>
      </c>
      <c r="F640" t="s">
        <v>21</v>
      </c>
      <c r="G640">
        <v>24</v>
      </c>
      <c r="H640" s="13">
        <v>35659</v>
      </c>
      <c r="I640" s="13">
        <v>12283</v>
      </c>
      <c r="J640" t="s">
        <v>25</v>
      </c>
      <c r="K640" s="13">
        <f>HR_Data[[#This Row],[Salary]]+HR_Data[[#This Row],[Bonus]]</f>
        <v>47942</v>
      </c>
    </row>
    <row r="641" spans="1:11" x14ac:dyDescent="0.25">
      <c r="A641">
        <v>1640</v>
      </c>
      <c r="B641" t="s">
        <v>681</v>
      </c>
      <c r="C641" t="s">
        <v>10</v>
      </c>
      <c r="D641" t="s">
        <v>15</v>
      </c>
      <c r="E641" t="s">
        <v>19</v>
      </c>
      <c r="F641" t="s">
        <v>22</v>
      </c>
      <c r="G641">
        <v>25</v>
      </c>
      <c r="H641" s="13">
        <v>54413</v>
      </c>
      <c r="I641" s="13">
        <v>20945</v>
      </c>
      <c r="J641" t="s">
        <v>25</v>
      </c>
      <c r="K641" s="13">
        <f>HR_Data[[#This Row],[Salary]]+HR_Data[[#This Row],[Bonus]]</f>
        <v>75358</v>
      </c>
    </row>
    <row r="642" spans="1:11" x14ac:dyDescent="0.25">
      <c r="A642">
        <v>1641</v>
      </c>
      <c r="B642" t="s">
        <v>682</v>
      </c>
      <c r="C642" t="s">
        <v>8</v>
      </c>
      <c r="D642" t="s">
        <v>15</v>
      </c>
      <c r="E642" t="s">
        <v>19</v>
      </c>
      <c r="F642" t="s">
        <v>21</v>
      </c>
      <c r="G642">
        <v>58</v>
      </c>
      <c r="H642" s="13">
        <v>30435</v>
      </c>
      <c r="I642" s="13">
        <v>5255</v>
      </c>
      <c r="J642" t="s">
        <v>25</v>
      </c>
      <c r="K642" s="13">
        <f>HR_Data[[#This Row],[Salary]]+HR_Data[[#This Row],[Bonus]]</f>
        <v>35690</v>
      </c>
    </row>
    <row r="643" spans="1:11" x14ac:dyDescent="0.25">
      <c r="A643">
        <v>1642</v>
      </c>
      <c r="B643" t="s">
        <v>683</v>
      </c>
      <c r="C643" t="s">
        <v>12</v>
      </c>
      <c r="D643" t="s">
        <v>15</v>
      </c>
      <c r="E643" t="s">
        <v>18</v>
      </c>
      <c r="F643" t="s">
        <v>23</v>
      </c>
      <c r="G643">
        <v>56</v>
      </c>
      <c r="H643" s="13">
        <v>73911</v>
      </c>
      <c r="I643" s="13">
        <v>28632</v>
      </c>
      <c r="J643" t="s">
        <v>25</v>
      </c>
      <c r="K643" s="13">
        <f>HR_Data[[#This Row],[Salary]]+HR_Data[[#This Row],[Bonus]]</f>
        <v>102543</v>
      </c>
    </row>
    <row r="644" spans="1:11" x14ac:dyDescent="0.25">
      <c r="A644">
        <v>1643</v>
      </c>
      <c r="B644" t="s">
        <v>684</v>
      </c>
      <c r="C644" t="s">
        <v>2042</v>
      </c>
      <c r="D644" t="s">
        <v>15</v>
      </c>
      <c r="E644" t="s">
        <v>20</v>
      </c>
      <c r="F644" t="s">
        <v>24</v>
      </c>
      <c r="G644">
        <v>52</v>
      </c>
      <c r="H644" s="13">
        <v>48067</v>
      </c>
      <c r="I644" s="13">
        <v>16019</v>
      </c>
      <c r="J644" t="s">
        <v>25</v>
      </c>
      <c r="K644" s="13">
        <f>HR_Data[[#This Row],[Salary]]+HR_Data[[#This Row],[Bonus]]</f>
        <v>64086</v>
      </c>
    </row>
    <row r="645" spans="1:11" x14ac:dyDescent="0.25">
      <c r="A645">
        <v>1644</v>
      </c>
      <c r="B645" t="s">
        <v>685</v>
      </c>
      <c r="C645" t="s">
        <v>11</v>
      </c>
      <c r="D645" t="s">
        <v>14</v>
      </c>
      <c r="E645" t="s">
        <v>17</v>
      </c>
      <c r="F645" t="s">
        <v>24</v>
      </c>
      <c r="G645">
        <v>46</v>
      </c>
      <c r="H645" s="13">
        <v>107794</v>
      </c>
      <c r="I645" s="13">
        <v>20487</v>
      </c>
      <c r="J645" t="s">
        <v>25</v>
      </c>
      <c r="K645" s="13">
        <f>HR_Data[[#This Row],[Salary]]+HR_Data[[#This Row],[Bonus]]</f>
        <v>128281</v>
      </c>
    </row>
    <row r="646" spans="1:11" x14ac:dyDescent="0.25">
      <c r="A646">
        <v>1645</v>
      </c>
      <c r="B646" t="s">
        <v>686</v>
      </c>
      <c r="C646" t="s">
        <v>11</v>
      </c>
      <c r="D646" t="s">
        <v>15</v>
      </c>
      <c r="E646" t="s">
        <v>18</v>
      </c>
      <c r="F646" t="s">
        <v>22</v>
      </c>
      <c r="G646">
        <v>34</v>
      </c>
      <c r="H646" s="13">
        <v>113823</v>
      </c>
      <c r="I646" s="13">
        <v>14029</v>
      </c>
      <c r="J646" t="s">
        <v>25</v>
      </c>
      <c r="K646" s="13">
        <f>HR_Data[[#This Row],[Salary]]+HR_Data[[#This Row],[Bonus]]</f>
        <v>127852</v>
      </c>
    </row>
    <row r="647" spans="1:11" x14ac:dyDescent="0.25">
      <c r="A647">
        <v>1646</v>
      </c>
      <c r="B647" t="s">
        <v>687</v>
      </c>
      <c r="C647" t="s">
        <v>2042</v>
      </c>
      <c r="D647" t="s">
        <v>14</v>
      </c>
      <c r="E647" t="s">
        <v>19</v>
      </c>
      <c r="F647" t="s">
        <v>24</v>
      </c>
      <c r="G647">
        <v>25</v>
      </c>
      <c r="H647" s="13">
        <v>89224</v>
      </c>
      <c r="I647" s="13">
        <v>24346</v>
      </c>
      <c r="J647" t="s">
        <v>25</v>
      </c>
      <c r="K647" s="13">
        <f>HR_Data[[#This Row],[Salary]]+HR_Data[[#This Row],[Bonus]]</f>
        <v>113570</v>
      </c>
    </row>
    <row r="648" spans="1:11" x14ac:dyDescent="0.25">
      <c r="A648">
        <v>1647</v>
      </c>
      <c r="B648" t="s">
        <v>688</v>
      </c>
      <c r="C648" t="s">
        <v>10</v>
      </c>
      <c r="D648" t="s">
        <v>14</v>
      </c>
      <c r="E648" t="s">
        <v>18</v>
      </c>
      <c r="F648" t="s">
        <v>23</v>
      </c>
      <c r="G648">
        <v>35</v>
      </c>
      <c r="H648" s="13">
        <v>93225</v>
      </c>
      <c r="I648" s="13">
        <v>7282</v>
      </c>
      <c r="J648" t="s">
        <v>25</v>
      </c>
      <c r="K648" s="13">
        <f>HR_Data[[#This Row],[Salary]]+HR_Data[[#This Row],[Bonus]]</f>
        <v>100507</v>
      </c>
    </row>
    <row r="649" spans="1:11" x14ac:dyDescent="0.25">
      <c r="A649">
        <v>1648</v>
      </c>
      <c r="B649" t="s">
        <v>689</v>
      </c>
      <c r="C649" t="s">
        <v>12</v>
      </c>
      <c r="D649" t="s">
        <v>15</v>
      </c>
      <c r="E649" t="s">
        <v>20</v>
      </c>
      <c r="F649" t="s">
        <v>21</v>
      </c>
      <c r="G649">
        <v>34</v>
      </c>
      <c r="H649" s="13">
        <v>21379</v>
      </c>
      <c r="I649" s="13">
        <v>13744</v>
      </c>
      <c r="J649" t="s">
        <v>25</v>
      </c>
      <c r="K649" s="13">
        <f>HR_Data[[#This Row],[Salary]]+HR_Data[[#This Row],[Bonus]]</f>
        <v>35123</v>
      </c>
    </row>
    <row r="650" spans="1:11" x14ac:dyDescent="0.25">
      <c r="A650">
        <v>1649</v>
      </c>
      <c r="B650" t="s">
        <v>690</v>
      </c>
      <c r="C650" t="s">
        <v>10</v>
      </c>
      <c r="D650" t="s">
        <v>15</v>
      </c>
      <c r="E650" t="s">
        <v>17</v>
      </c>
      <c r="F650" t="s">
        <v>22</v>
      </c>
      <c r="G650">
        <v>48</v>
      </c>
      <c r="H650" s="13">
        <v>47624</v>
      </c>
      <c r="I650" s="13">
        <v>29756</v>
      </c>
      <c r="J650" t="s">
        <v>25</v>
      </c>
      <c r="K650" s="13">
        <f>HR_Data[[#This Row],[Salary]]+HR_Data[[#This Row],[Bonus]]</f>
        <v>77380</v>
      </c>
    </row>
    <row r="651" spans="1:11" x14ac:dyDescent="0.25">
      <c r="A651">
        <v>1650</v>
      </c>
      <c r="B651" t="s">
        <v>691</v>
      </c>
      <c r="C651" t="s">
        <v>9</v>
      </c>
      <c r="D651" t="s">
        <v>15</v>
      </c>
      <c r="E651" t="s">
        <v>20</v>
      </c>
      <c r="F651" t="s">
        <v>23</v>
      </c>
      <c r="G651">
        <v>27</v>
      </c>
      <c r="H651" s="13">
        <v>111500</v>
      </c>
      <c r="I651" s="13">
        <v>22861</v>
      </c>
      <c r="J651" t="s">
        <v>25</v>
      </c>
      <c r="K651" s="13">
        <f>HR_Data[[#This Row],[Salary]]+HR_Data[[#This Row],[Bonus]]</f>
        <v>134361</v>
      </c>
    </row>
    <row r="652" spans="1:11" x14ac:dyDescent="0.25">
      <c r="A652">
        <v>1651</v>
      </c>
      <c r="B652" t="s">
        <v>692</v>
      </c>
      <c r="C652" t="s">
        <v>10</v>
      </c>
      <c r="D652" t="s">
        <v>15</v>
      </c>
      <c r="E652" t="s">
        <v>16</v>
      </c>
      <c r="F652" t="s">
        <v>24</v>
      </c>
      <c r="G652">
        <v>38</v>
      </c>
      <c r="H652" s="13">
        <v>108427</v>
      </c>
      <c r="I652" s="13">
        <v>26336</v>
      </c>
      <c r="J652" t="s">
        <v>25</v>
      </c>
      <c r="K652" s="13">
        <f>HR_Data[[#This Row],[Salary]]+HR_Data[[#This Row],[Bonus]]</f>
        <v>134763</v>
      </c>
    </row>
    <row r="653" spans="1:11" x14ac:dyDescent="0.25">
      <c r="A653">
        <v>1652</v>
      </c>
      <c r="B653" t="s">
        <v>693</v>
      </c>
      <c r="C653" t="s">
        <v>10</v>
      </c>
      <c r="D653" t="s">
        <v>15</v>
      </c>
      <c r="E653" t="s">
        <v>17</v>
      </c>
      <c r="F653" t="s">
        <v>24</v>
      </c>
      <c r="G653">
        <v>57</v>
      </c>
      <c r="H653" s="13">
        <v>77745</v>
      </c>
      <c r="I653" s="13">
        <v>27264</v>
      </c>
      <c r="J653" t="s">
        <v>25</v>
      </c>
      <c r="K653" s="13">
        <f>HR_Data[[#This Row],[Salary]]+HR_Data[[#This Row],[Bonus]]</f>
        <v>105009</v>
      </c>
    </row>
    <row r="654" spans="1:11" x14ac:dyDescent="0.25">
      <c r="A654">
        <v>1653</v>
      </c>
      <c r="B654" t="s">
        <v>694</v>
      </c>
      <c r="C654" t="s">
        <v>27</v>
      </c>
      <c r="D654" t="s">
        <v>14</v>
      </c>
      <c r="E654" t="s">
        <v>20</v>
      </c>
      <c r="F654" t="s">
        <v>23</v>
      </c>
      <c r="G654">
        <v>56</v>
      </c>
      <c r="H654" s="13">
        <v>71805</v>
      </c>
      <c r="I654" s="13">
        <v>14919</v>
      </c>
      <c r="J654" t="s">
        <v>25</v>
      </c>
      <c r="K654" s="13">
        <f>HR_Data[[#This Row],[Salary]]+HR_Data[[#This Row],[Bonus]]</f>
        <v>86724</v>
      </c>
    </row>
    <row r="655" spans="1:11" x14ac:dyDescent="0.25">
      <c r="A655">
        <v>1654</v>
      </c>
      <c r="B655" t="s">
        <v>695</v>
      </c>
      <c r="C655" t="s">
        <v>2042</v>
      </c>
      <c r="D655" t="s">
        <v>15</v>
      </c>
      <c r="E655" t="s">
        <v>19</v>
      </c>
      <c r="F655" t="s">
        <v>21</v>
      </c>
      <c r="G655">
        <v>38</v>
      </c>
      <c r="H655" s="13">
        <v>32516</v>
      </c>
      <c r="I655" s="13">
        <v>18335</v>
      </c>
      <c r="J655" t="s">
        <v>25</v>
      </c>
      <c r="K655" s="13">
        <f>HR_Data[[#This Row],[Salary]]+HR_Data[[#This Row],[Bonus]]</f>
        <v>50851</v>
      </c>
    </row>
    <row r="656" spans="1:11" x14ac:dyDescent="0.25">
      <c r="A656">
        <v>1655</v>
      </c>
      <c r="B656" t="s">
        <v>696</v>
      </c>
      <c r="C656" t="s">
        <v>2042</v>
      </c>
      <c r="D656" t="s">
        <v>15</v>
      </c>
      <c r="E656" t="s">
        <v>17</v>
      </c>
      <c r="F656" t="s">
        <v>21</v>
      </c>
      <c r="G656">
        <v>23</v>
      </c>
      <c r="H656" s="13">
        <v>99422</v>
      </c>
      <c r="I656" s="13">
        <v>26976</v>
      </c>
      <c r="J656" t="s">
        <v>25</v>
      </c>
      <c r="K656" s="13">
        <f>HR_Data[[#This Row],[Salary]]+HR_Data[[#This Row],[Bonus]]</f>
        <v>126398</v>
      </c>
    </row>
    <row r="657" spans="1:11" x14ac:dyDescent="0.25">
      <c r="A657">
        <v>1656</v>
      </c>
      <c r="B657" t="s">
        <v>697</v>
      </c>
      <c r="C657" t="s">
        <v>11</v>
      </c>
      <c r="D657" t="s">
        <v>14</v>
      </c>
      <c r="E657" t="s">
        <v>17</v>
      </c>
      <c r="F657" t="s">
        <v>22</v>
      </c>
      <c r="G657">
        <v>34</v>
      </c>
      <c r="H657" s="13">
        <v>105843</v>
      </c>
      <c r="I657" s="13">
        <v>28475</v>
      </c>
      <c r="J657" t="s">
        <v>25</v>
      </c>
      <c r="K657" s="13">
        <f>HR_Data[[#This Row],[Salary]]+HR_Data[[#This Row],[Bonus]]</f>
        <v>134318</v>
      </c>
    </row>
    <row r="658" spans="1:11" x14ac:dyDescent="0.25">
      <c r="A658">
        <v>1657</v>
      </c>
      <c r="B658" t="s">
        <v>698</v>
      </c>
      <c r="C658" t="s">
        <v>9</v>
      </c>
      <c r="D658" t="s">
        <v>14</v>
      </c>
      <c r="E658" t="s">
        <v>18</v>
      </c>
      <c r="F658" t="s">
        <v>24</v>
      </c>
      <c r="G658">
        <v>23</v>
      </c>
      <c r="H658" s="13">
        <v>44843</v>
      </c>
      <c r="I658" s="13">
        <v>5591</v>
      </c>
      <c r="J658" t="s">
        <v>26</v>
      </c>
      <c r="K658" s="13">
        <f>HR_Data[[#This Row],[Salary]]+HR_Data[[#This Row],[Bonus]]</f>
        <v>50434</v>
      </c>
    </row>
    <row r="659" spans="1:11" x14ac:dyDescent="0.25">
      <c r="A659">
        <v>1658</v>
      </c>
      <c r="B659" t="s">
        <v>699</v>
      </c>
      <c r="C659" t="s">
        <v>2042</v>
      </c>
      <c r="D659" t="s">
        <v>15</v>
      </c>
      <c r="E659" t="s">
        <v>19</v>
      </c>
      <c r="F659" t="s">
        <v>23</v>
      </c>
      <c r="G659">
        <v>49</v>
      </c>
      <c r="H659" s="13">
        <v>25912</v>
      </c>
      <c r="I659" s="13">
        <v>11277</v>
      </c>
      <c r="J659" t="s">
        <v>26</v>
      </c>
      <c r="K659" s="13">
        <f>HR_Data[[#This Row],[Salary]]+HR_Data[[#This Row],[Bonus]]</f>
        <v>37189</v>
      </c>
    </row>
    <row r="660" spans="1:11" x14ac:dyDescent="0.25">
      <c r="A660">
        <v>1659</v>
      </c>
      <c r="B660" t="s">
        <v>700</v>
      </c>
      <c r="C660" t="s">
        <v>12</v>
      </c>
      <c r="D660" t="s">
        <v>14</v>
      </c>
      <c r="E660" t="s">
        <v>16</v>
      </c>
      <c r="F660" t="s">
        <v>21</v>
      </c>
      <c r="G660">
        <v>47</v>
      </c>
      <c r="H660" s="13">
        <v>41514</v>
      </c>
      <c r="I660" s="13">
        <v>7260</v>
      </c>
      <c r="J660" t="s">
        <v>25</v>
      </c>
      <c r="K660" s="13">
        <f>HR_Data[[#This Row],[Salary]]+HR_Data[[#This Row],[Bonus]]</f>
        <v>48774</v>
      </c>
    </row>
    <row r="661" spans="1:11" x14ac:dyDescent="0.25">
      <c r="A661">
        <v>1660</v>
      </c>
      <c r="B661" t="s">
        <v>701</v>
      </c>
      <c r="C661" t="s">
        <v>11</v>
      </c>
      <c r="D661" t="s">
        <v>15</v>
      </c>
      <c r="E661" t="s">
        <v>20</v>
      </c>
      <c r="F661" t="s">
        <v>22</v>
      </c>
      <c r="G661">
        <v>43</v>
      </c>
      <c r="H661" s="13">
        <v>107359</v>
      </c>
      <c r="I661" s="13">
        <v>16139</v>
      </c>
      <c r="J661" t="s">
        <v>25</v>
      </c>
      <c r="K661" s="13">
        <f>HR_Data[[#This Row],[Salary]]+HR_Data[[#This Row],[Bonus]]</f>
        <v>123498</v>
      </c>
    </row>
    <row r="662" spans="1:11" x14ac:dyDescent="0.25">
      <c r="A662">
        <v>1661</v>
      </c>
      <c r="B662" t="s">
        <v>702</v>
      </c>
      <c r="C662" t="s">
        <v>8</v>
      </c>
      <c r="D662" t="s">
        <v>14</v>
      </c>
      <c r="E662" t="s">
        <v>18</v>
      </c>
      <c r="F662" t="s">
        <v>24</v>
      </c>
      <c r="G662">
        <v>24</v>
      </c>
      <c r="H662" s="13">
        <v>77032</v>
      </c>
      <c r="I662" s="13">
        <v>5347</v>
      </c>
      <c r="J662" t="s">
        <v>26</v>
      </c>
      <c r="K662" s="13">
        <f>HR_Data[[#This Row],[Salary]]+HR_Data[[#This Row],[Bonus]]</f>
        <v>82379</v>
      </c>
    </row>
    <row r="663" spans="1:11" x14ac:dyDescent="0.25">
      <c r="A663">
        <v>1662</v>
      </c>
      <c r="B663" t="s">
        <v>703</v>
      </c>
      <c r="C663" t="s">
        <v>12</v>
      </c>
      <c r="D663" t="s">
        <v>14</v>
      </c>
      <c r="E663" t="s">
        <v>20</v>
      </c>
      <c r="F663" t="s">
        <v>24</v>
      </c>
      <c r="G663">
        <v>56</v>
      </c>
      <c r="H663" s="13">
        <v>48797</v>
      </c>
      <c r="I663" s="13">
        <v>29741</v>
      </c>
      <c r="J663" t="s">
        <v>25</v>
      </c>
      <c r="K663" s="13">
        <f>HR_Data[[#This Row],[Salary]]+HR_Data[[#This Row],[Bonus]]</f>
        <v>78538</v>
      </c>
    </row>
    <row r="664" spans="1:11" x14ac:dyDescent="0.25">
      <c r="A664">
        <v>1663</v>
      </c>
      <c r="B664" t="s">
        <v>704</v>
      </c>
      <c r="C664" t="s">
        <v>12</v>
      </c>
      <c r="D664" t="s">
        <v>15</v>
      </c>
      <c r="E664" t="s">
        <v>16</v>
      </c>
      <c r="F664" t="s">
        <v>22</v>
      </c>
      <c r="G664">
        <v>33</v>
      </c>
      <c r="H664" s="13">
        <v>26449</v>
      </c>
      <c r="I664" s="13">
        <v>26416</v>
      </c>
      <c r="J664" t="s">
        <v>25</v>
      </c>
      <c r="K664" s="13">
        <f>HR_Data[[#This Row],[Salary]]+HR_Data[[#This Row],[Bonus]]</f>
        <v>52865</v>
      </c>
    </row>
    <row r="665" spans="1:11" x14ac:dyDescent="0.25">
      <c r="A665">
        <v>1664</v>
      </c>
      <c r="B665" t="s">
        <v>705</v>
      </c>
      <c r="C665" t="s">
        <v>2042</v>
      </c>
      <c r="D665" t="s">
        <v>14</v>
      </c>
      <c r="E665" t="s">
        <v>16</v>
      </c>
      <c r="F665" t="s">
        <v>22</v>
      </c>
      <c r="G665">
        <v>45</v>
      </c>
      <c r="H665" s="13">
        <v>21725</v>
      </c>
      <c r="I665" s="13">
        <v>9443</v>
      </c>
      <c r="J665" t="s">
        <v>25</v>
      </c>
      <c r="K665" s="13">
        <f>HR_Data[[#This Row],[Salary]]+HR_Data[[#This Row],[Bonus]]</f>
        <v>31168</v>
      </c>
    </row>
    <row r="666" spans="1:11" x14ac:dyDescent="0.25">
      <c r="A666">
        <v>1665</v>
      </c>
      <c r="B666" t="s">
        <v>706</v>
      </c>
      <c r="C666" t="s">
        <v>8</v>
      </c>
      <c r="D666" t="s">
        <v>14</v>
      </c>
      <c r="E666" t="s">
        <v>17</v>
      </c>
      <c r="F666" t="s">
        <v>21</v>
      </c>
      <c r="G666">
        <v>26</v>
      </c>
      <c r="H666" s="13">
        <v>101406</v>
      </c>
      <c r="I666" s="13">
        <v>16088</v>
      </c>
      <c r="J666" t="s">
        <v>25</v>
      </c>
      <c r="K666" s="13">
        <f>HR_Data[[#This Row],[Salary]]+HR_Data[[#This Row],[Bonus]]</f>
        <v>117494</v>
      </c>
    </row>
    <row r="667" spans="1:11" x14ac:dyDescent="0.25">
      <c r="A667">
        <v>1666</v>
      </c>
      <c r="B667" t="s">
        <v>707</v>
      </c>
      <c r="C667" t="s">
        <v>8</v>
      </c>
      <c r="D667" t="s">
        <v>14</v>
      </c>
      <c r="E667" t="s">
        <v>16</v>
      </c>
      <c r="F667" t="s">
        <v>23</v>
      </c>
      <c r="G667">
        <v>41</v>
      </c>
      <c r="H667" s="13">
        <v>29304</v>
      </c>
      <c r="I667" s="13">
        <v>13774</v>
      </c>
      <c r="J667" t="s">
        <v>25</v>
      </c>
      <c r="K667" s="13">
        <f>HR_Data[[#This Row],[Salary]]+HR_Data[[#This Row],[Bonus]]</f>
        <v>43078</v>
      </c>
    </row>
    <row r="668" spans="1:11" x14ac:dyDescent="0.25">
      <c r="A668">
        <v>1667</v>
      </c>
      <c r="B668" t="s">
        <v>708</v>
      </c>
      <c r="C668" t="s">
        <v>11</v>
      </c>
      <c r="D668" t="s">
        <v>14</v>
      </c>
      <c r="E668" t="s">
        <v>20</v>
      </c>
      <c r="F668" t="s">
        <v>24</v>
      </c>
      <c r="G668">
        <v>34</v>
      </c>
      <c r="H668" s="13">
        <v>93058</v>
      </c>
      <c r="I668" s="13">
        <v>11869</v>
      </c>
      <c r="J668" t="s">
        <v>25</v>
      </c>
      <c r="K668" s="13">
        <f>HR_Data[[#This Row],[Salary]]+HR_Data[[#This Row],[Bonus]]</f>
        <v>104927</v>
      </c>
    </row>
    <row r="669" spans="1:11" x14ac:dyDescent="0.25">
      <c r="A669">
        <v>1668</v>
      </c>
      <c r="B669" t="s">
        <v>709</v>
      </c>
      <c r="C669" t="s">
        <v>8</v>
      </c>
      <c r="D669" t="s">
        <v>14</v>
      </c>
      <c r="E669" t="s">
        <v>19</v>
      </c>
      <c r="F669" t="s">
        <v>23</v>
      </c>
      <c r="G669">
        <v>33</v>
      </c>
      <c r="H669" s="13">
        <v>33663</v>
      </c>
      <c r="I669" s="13">
        <v>27080</v>
      </c>
      <c r="J669" t="s">
        <v>26</v>
      </c>
      <c r="K669" s="13">
        <f>HR_Data[[#This Row],[Salary]]+HR_Data[[#This Row],[Bonus]]</f>
        <v>60743</v>
      </c>
    </row>
    <row r="670" spans="1:11" x14ac:dyDescent="0.25">
      <c r="A670">
        <v>1669</v>
      </c>
      <c r="B670" t="s">
        <v>710</v>
      </c>
      <c r="C670" t="s">
        <v>9</v>
      </c>
      <c r="D670" t="s">
        <v>14</v>
      </c>
      <c r="E670" t="s">
        <v>19</v>
      </c>
      <c r="F670" t="s">
        <v>24</v>
      </c>
      <c r="G670">
        <v>34</v>
      </c>
      <c r="H670" s="13">
        <v>90320</v>
      </c>
      <c r="I670" s="13">
        <v>24422</v>
      </c>
      <c r="J670" t="s">
        <v>25</v>
      </c>
      <c r="K670" s="13">
        <f>HR_Data[[#This Row],[Salary]]+HR_Data[[#This Row],[Bonus]]</f>
        <v>114742</v>
      </c>
    </row>
    <row r="671" spans="1:11" x14ac:dyDescent="0.25">
      <c r="A671">
        <v>1670</v>
      </c>
      <c r="B671" t="s">
        <v>711</v>
      </c>
      <c r="C671" t="s">
        <v>2042</v>
      </c>
      <c r="D671" t="s">
        <v>27</v>
      </c>
      <c r="E671" t="s">
        <v>17</v>
      </c>
      <c r="F671" t="s">
        <v>24</v>
      </c>
      <c r="G671">
        <v>31</v>
      </c>
      <c r="H671" s="13">
        <v>95008</v>
      </c>
      <c r="I671" s="13">
        <v>7845</v>
      </c>
      <c r="J671" t="s">
        <v>25</v>
      </c>
      <c r="K671" s="13">
        <f>HR_Data[[#This Row],[Salary]]+HR_Data[[#This Row],[Bonus]]</f>
        <v>102853</v>
      </c>
    </row>
    <row r="672" spans="1:11" x14ac:dyDescent="0.25">
      <c r="A672">
        <v>1671</v>
      </c>
      <c r="B672" t="s">
        <v>712</v>
      </c>
      <c r="C672" t="s">
        <v>8</v>
      </c>
      <c r="D672" t="s">
        <v>15</v>
      </c>
      <c r="E672" t="s">
        <v>20</v>
      </c>
      <c r="F672" t="s">
        <v>23</v>
      </c>
      <c r="G672">
        <v>54</v>
      </c>
      <c r="H672" s="13">
        <v>114488</v>
      </c>
      <c r="I672" s="13">
        <v>29248</v>
      </c>
      <c r="J672" t="s">
        <v>25</v>
      </c>
      <c r="K672" s="13">
        <f>HR_Data[[#This Row],[Salary]]+HR_Data[[#This Row],[Bonus]]</f>
        <v>143736</v>
      </c>
    </row>
    <row r="673" spans="1:11" x14ac:dyDescent="0.25">
      <c r="A673">
        <v>1672</v>
      </c>
      <c r="B673" t="s">
        <v>713</v>
      </c>
      <c r="C673" t="s">
        <v>11</v>
      </c>
      <c r="D673" t="s">
        <v>14</v>
      </c>
      <c r="E673" t="s">
        <v>20</v>
      </c>
      <c r="F673" t="s">
        <v>22</v>
      </c>
      <c r="G673">
        <v>37</v>
      </c>
      <c r="H673" s="13">
        <v>95591</v>
      </c>
      <c r="I673" s="13">
        <v>27993</v>
      </c>
      <c r="J673" t="s">
        <v>25</v>
      </c>
      <c r="K673" s="13">
        <f>HR_Data[[#This Row],[Salary]]+HR_Data[[#This Row],[Bonus]]</f>
        <v>123584</v>
      </c>
    </row>
    <row r="674" spans="1:11" x14ac:dyDescent="0.25">
      <c r="A674">
        <v>1673</v>
      </c>
      <c r="B674" t="s">
        <v>714</v>
      </c>
      <c r="C674" t="s">
        <v>9</v>
      </c>
      <c r="D674" t="s">
        <v>15</v>
      </c>
      <c r="E674" t="s">
        <v>16</v>
      </c>
      <c r="F674" t="s">
        <v>21</v>
      </c>
      <c r="G674">
        <v>56</v>
      </c>
      <c r="H674" s="13">
        <v>115044</v>
      </c>
      <c r="I674" s="13">
        <v>17386</v>
      </c>
      <c r="J674" t="s">
        <v>25</v>
      </c>
      <c r="K674" s="13">
        <f>HR_Data[[#This Row],[Salary]]+HR_Data[[#This Row],[Bonus]]</f>
        <v>132430</v>
      </c>
    </row>
    <row r="675" spans="1:11" x14ac:dyDescent="0.25">
      <c r="A675">
        <v>1674</v>
      </c>
      <c r="B675" t="s">
        <v>715</v>
      </c>
      <c r="C675" t="s">
        <v>27</v>
      </c>
      <c r="D675" t="s">
        <v>15</v>
      </c>
      <c r="E675" t="s">
        <v>20</v>
      </c>
      <c r="F675" t="s">
        <v>24</v>
      </c>
      <c r="G675">
        <v>24</v>
      </c>
      <c r="H675" s="13">
        <v>32676</v>
      </c>
      <c r="I675" s="13">
        <v>6265</v>
      </c>
      <c r="J675" t="s">
        <v>25</v>
      </c>
      <c r="K675" s="13">
        <f>HR_Data[[#This Row],[Salary]]+HR_Data[[#This Row],[Bonus]]</f>
        <v>38941</v>
      </c>
    </row>
    <row r="676" spans="1:11" x14ac:dyDescent="0.25">
      <c r="A676">
        <v>1675</v>
      </c>
      <c r="B676" t="s">
        <v>716</v>
      </c>
      <c r="C676" t="s">
        <v>10</v>
      </c>
      <c r="D676" t="s">
        <v>15</v>
      </c>
      <c r="E676" t="s">
        <v>18</v>
      </c>
      <c r="F676" t="s">
        <v>22</v>
      </c>
      <c r="G676">
        <v>26</v>
      </c>
      <c r="H676" s="13">
        <v>45192</v>
      </c>
      <c r="I676" s="13">
        <v>17445</v>
      </c>
      <c r="J676" t="s">
        <v>25</v>
      </c>
      <c r="K676" s="13">
        <f>HR_Data[[#This Row],[Salary]]+HR_Data[[#This Row],[Bonus]]</f>
        <v>62637</v>
      </c>
    </row>
    <row r="677" spans="1:11" x14ac:dyDescent="0.25">
      <c r="A677">
        <v>1676</v>
      </c>
      <c r="B677" t="s">
        <v>717</v>
      </c>
      <c r="C677" t="s">
        <v>9</v>
      </c>
      <c r="D677" t="s">
        <v>14</v>
      </c>
      <c r="E677" t="s">
        <v>16</v>
      </c>
      <c r="F677" t="s">
        <v>24</v>
      </c>
      <c r="G677">
        <v>47</v>
      </c>
      <c r="H677" s="13">
        <v>44722</v>
      </c>
      <c r="I677" s="13">
        <v>17938</v>
      </c>
      <c r="J677" t="s">
        <v>25</v>
      </c>
      <c r="K677" s="13">
        <f>HR_Data[[#This Row],[Salary]]+HR_Data[[#This Row],[Bonus]]</f>
        <v>62660</v>
      </c>
    </row>
    <row r="678" spans="1:11" x14ac:dyDescent="0.25">
      <c r="A678">
        <v>1677</v>
      </c>
      <c r="B678" t="s">
        <v>718</v>
      </c>
      <c r="C678" t="s">
        <v>11</v>
      </c>
      <c r="D678" t="s">
        <v>15</v>
      </c>
      <c r="E678" t="s">
        <v>18</v>
      </c>
      <c r="F678" t="s">
        <v>21</v>
      </c>
      <c r="G678">
        <v>32</v>
      </c>
      <c r="H678" s="13">
        <v>27446</v>
      </c>
      <c r="I678" s="13">
        <v>16159</v>
      </c>
      <c r="J678" t="s">
        <v>25</v>
      </c>
      <c r="K678" s="13">
        <f>HR_Data[[#This Row],[Salary]]+HR_Data[[#This Row],[Bonus]]</f>
        <v>43605</v>
      </c>
    </row>
    <row r="679" spans="1:11" x14ac:dyDescent="0.25">
      <c r="A679">
        <v>1678</v>
      </c>
      <c r="B679" t="s">
        <v>719</v>
      </c>
      <c r="C679" t="s">
        <v>9</v>
      </c>
      <c r="D679" t="s">
        <v>14</v>
      </c>
      <c r="E679" t="s">
        <v>17</v>
      </c>
      <c r="F679" t="s">
        <v>24</v>
      </c>
      <c r="G679">
        <v>28</v>
      </c>
      <c r="H679" s="13">
        <v>24725</v>
      </c>
      <c r="I679" s="13">
        <v>7274</v>
      </c>
      <c r="J679" t="s">
        <v>25</v>
      </c>
      <c r="K679" s="13">
        <f>HR_Data[[#This Row],[Salary]]+HR_Data[[#This Row],[Bonus]]</f>
        <v>31999</v>
      </c>
    </row>
    <row r="680" spans="1:11" x14ac:dyDescent="0.25">
      <c r="A680">
        <v>1679</v>
      </c>
      <c r="B680" t="s">
        <v>720</v>
      </c>
      <c r="C680" t="s">
        <v>2042</v>
      </c>
      <c r="D680" t="s">
        <v>15</v>
      </c>
      <c r="E680" t="s">
        <v>19</v>
      </c>
      <c r="F680" t="s">
        <v>21</v>
      </c>
      <c r="G680">
        <v>31</v>
      </c>
      <c r="H680" s="13">
        <v>105597</v>
      </c>
      <c r="I680" s="13">
        <v>23854</v>
      </c>
      <c r="J680" t="s">
        <v>25</v>
      </c>
      <c r="K680" s="13">
        <f>HR_Data[[#This Row],[Salary]]+HR_Data[[#This Row],[Bonus]]</f>
        <v>129451</v>
      </c>
    </row>
    <row r="681" spans="1:11" x14ac:dyDescent="0.25">
      <c r="A681">
        <v>1680</v>
      </c>
      <c r="B681" t="s">
        <v>721</v>
      </c>
      <c r="C681" t="s">
        <v>2042</v>
      </c>
      <c r="D681" t="s">
        <v>14</v>
      </c>
      <c r="E681" t="s">
        <v>17</v>
      </c>
      <c r="F681" t="s">
        <v>21</v>
      </c>
      <c r="G681">
        <v>55</v>
      </c>
      <c r="H681" s="13">
        <v>108207</v>
      </c>
      <c r="I681" s="13">
        <v>15482</v>
      </c>
      <c r="J681" t="s">
        <v>25</v>
      </c>
      <c r="K681" s="13">
        <f>HR_Data[[#This Row],[Salary]]+HR_Data[[#This Row],[Bonus]]</f>
        <v>123689</v>
      </c>
    </row>
    <row r="682" spans="1:11" x14ac:dyDescent="0.25">
      <c r="A682">
        <v>1681</v>
      </c>
      <c r="B682" t="s">
        <v>722</v>
      </c>
      <c r="C682" t="s">
        <v>10</v>
      </c>
      <c r="D682" t="s">
        <v>14</v>
      </c>
      <c r="E682" t="s">
        <v>19</v>
      </c>
      <c r="F682" t="s">
        <v>24</v>
      </c>
      <c r="G682">
        <v>24</v>
      </c>
      <c r="H682" s="13">
        <v>77632</v>
      </c>
      <c r="I682" s="13">
        <v>23961</v>
      </c>
      <c r="J682" t="s">
        <v>25</v>
      </c>
      <c r="K682" s="13">
        <f>HR_Data[[#This Row],[Salary]]+HR_Data[[#This Row],[Bonus]]</f>
        <v>101593</v>
      </c>
    </row>
    <row r="683" spans="1:11" x14ac:dyDescent="0.25">
      <c r="A683">
        <v>1682</v>
      </c>
      <c r="B683" t="s">
        <v>723</v>
      </c>
      <c r="C683" t="s">
        <v>8</v>
      </c>
      <c r="D683" t="s">
        <v>15</v>
      </c>
      <c r="E683" t="s">
        <v>17</v>
      </c>
      <c r="F683" t="s">
        <v>24</v>
      </c>
      <c r="G683">
        <v>29</v>
      </c>
      <c r="H683" s="13">
        <v>86945</v>
      </c>
      <c r="I683" s="13">
        <v>25044</v>
      </c>
      <c r="J683" t="s">
        <v>25</v>
      </c>
      <c r="K683" s="13">
        <f>HR_Data[[#This Row],[Salary]]+HR_Data[[#This Row],[Bonus]]</f>
        <v>111989</v>
      </c>
    </row>
    <row r="684" spans="1:11" x14ac:dyDescent="0.25">
      <c r="A684">
        <v>1683</v>
      </c>
      <c r="B684" t="s">
        <v>724</v>
      </c>
      <c r="C684" t="s">
        <v>11</v>
      </c>
      <c r="D684" t="s">
        <v>15</v>
      </c>
      <c r="E684" t="s">
        <v>20</v>
      </c>
      <c r="F684" t="s">
        <v>21</v>
      </c>
      <c r="G684">
        <v>52</v>
      </c>
      <c r="H684" s="13">
        <v>93741</v>
      </c>
      <c r="I684" s="13">
        <v>6068</v>
      </c>
      <c r="J684" t="s">
        <v>25</v>
      </c>
      <c r="K684" s="13">
        <f>HR_Data[[#This Row],[Salary]]+HR_Data[[#This Row],[Bonus]]</f>
        <v>99809</v>
      </c>
    </row>
    <row r="685" spans="1:11" x14ac:dyDescent="0.25">
      <c r="A685">
        <v>1684</v>
      </c>
      <c r="B685" t="s">
        <v>725</v>
      </c>
      <c r="C685" t="s">
        <v>10</v>
      </c>
      <c r="D685" t="s">
        <v>14</v>
      </c>
      <c r="E685" t="s">
        <v>18</v>
      </c>
      <c r="F685" t="s">
        <v>22</v>
      </c>
      <c r="G685">
        <v>32</v>
      </c>
      <c r="H685" s="13">
        <v>36365</v>
      </c>
      <c r="I685" s="13">
        <v>26975</v>
      </c>
      <c r="J685" t="s">
        <v>26</v>
      </c>
      <c r="K685" s="13">
        <f>HR_Data[[#This Row],[Salary]]+HR_Data[[#This Row],[Bonus]]</f>
        <v>63340</v>
      </c>
    </row>
    <row r="686" spans="1:11" x14ac:dyDescent="0.25">
      <c r="A686">
        <v>1685</v>
      </c>
      <c r="B686" t="s">
        <v>726</v>
      </c>
      <c r="C686" t="s">
        <v>8</v>
      </c>
      <c r="D686" t="s">
        <v>15</v>
      </c>
      <c r="E686" t="s">
        <v>19</v>
      </c>
      <c r="F686" t="s">
        <v>23</v>
      </c>
      <c r="G686">
        <v>28</v>
      </c>
      <c r="H686" s="13">
        <v>85792</v>
      </c>
      <c r="I686" s="13">
        <v>19706</v>
      </c>
      <c r="J686" t="s">
        <v>25</v>
      </c>
      <c r="K686" s="13">
        <f>HR_Data[[#This Row],[Salary]]+HR_Data[[#This Row],[Bonus]]</f>
        <v>105498</v>
      </c>
    </row>
    <row r="687" spans="1:11" x14ac:dyDescent="0.25">
      <c r="A687">
        <v>1686</v>
      </c>
      <c r="B687" t="s">
        <v>727</v>
      </c>
      <c r="C687" t="s">
        <v>8</v>
      </c>
      <c r="D687" t="s">
        <v>15</v>
      </c>
      <c r="E687" t="s">
        <v>16</v>
      </c>
      <c r="F687" t="s">
        <v>21</v>
      </c>
      <c r="G687">
        <v>23</v>
      </c>
      <c r="H687" s="13">
        <v>84857</v>
      </c>
      <c r="I687" s="13">
        <v>10974</v>
      </c>
      <c r="J687" t="s">
        <v>25</v>
      </c>
      <c r="K687" s="13">
        <f>HR_Data[[#This Row],[Salary]]+HR_Data[[#This Row],[Bonus]]</f>
        <v>95831</v>
      </c>
    </row>
    <row r="688" spans="1:11" x14ac:dyDescent="0.25">
      <c r="A688">
        <v>1687</v>
      </c>
      <c r="B688" t="s">
        <v>728</v>
      </c>
      <c r="C688" t="s">
        <v>2042</v>
      </c>
      <c r="D688" t="s">
        <v>15</v>
      </c>
      <c r="E688" t="s">
        <v>18</v>
      </c>
      <c r="F688" t="s">
        <v>24</v>
      </c>
      <c r="G688">
        <v>27</v>
      </c>
      <c r="H688" s="13">
        <v>35704</v>
      </c>
      <c r="I688" s="13">
        <v>15928</v>
      </c>
      <c r="J688" t="s">
        <v>26</v>
      </c>
      <c r="K688" s="13">
        <f>HR_Data[[#This Row],[Salary]]+HR_Data[[#This Row],[Bonus]]</f>
        <v>51632</v>
      </c>
    </row>
    <row r="689" spans="1:11" x14ac:dyDescent="0.25">
      <c r="A689">
        <v>1688</v>
      </c>
      <c r="B689" t="s">
        <v>729</v>
      </c>
      <c r="C689" t="s">
        <v>12</v>
      </c>
      <c r="D689" t="s">
        <v>14</v>
      </c>
      <c r="E689" t="s">
        <v>16</v>
      </c>
      <c r="F689" t="s">
        <v>24</v>
      </c>
      <c r="G689">
        <v>53</v>
      </c>
      <c r="H689" s="13">
        <v>70575</v>
      </c>
      <c r="I689" s="13">
        <v>26213</v>
      </c>
      <c r="J689" t="s">
        <v>26</v>
      </c>
      <c r="K689" s="13">
        <f>HR_Data[[#This Row],[Salary]]+HR_Data[[#This Row],[Bonus]]</f>
        <v>96788</v>
      </c>
    </row>
    <row r="690" spans="1:11" x14ac:dyDescent="0.25">
      <c r="A690">
        <v>1689</v>
      </c>
      <c r="B690" t="s">
        <v>730</v>
      </c>
      <c r="C690" t="s">
        <v>27</v>
      </c>
      <c r="D690" t="s">
        <v>14</v>
      </c>
      <c r="E690" t="s">
        <v>18</v>
      </c>
      <c r="F690" t="s">
        <v>22</v>
      </c>
      <c r="G690">
        <v>41</v>
      </c>
      <c r="H690" s="13">
        <v>49902</v>
      </c>
      <c r="I690" s="13">
        <v>6950</v>
      </c>
      <c r="J690" t="s">
        <v>25</v>
      </c>
      <c r="K690" s="13">
        <f>HR_Data[[#This Row],[Salary]]+HR_Data[[#This Row],[Bonus]]</f>
        <v>56852</v>
      </c>
    </row>
    <row r="691" spans="1:11" x14ac:dyDescent="0.25">
      <c r="A691">
        <v>1690</v>
      </c>
      <c r="B691" t="s">
        <v>731</v>
      </c>
      <c r="C691" t="s">
        <v>9</v>
      </c>
      <c r="D691" t="s">
        <v>15</v>
      </c>
      <c r="E691" t="s">
        <v>18</v>
      </c>
      <c r="F691" t="s">
        <v>23</v>
      </c>
      <c r="G691">
        <v>55</v>
      </c>
      <c r="H691" s="13">
        <v>21195</v>
      </c>
      <c r="I691" s="13">
        <v>29667</v>
      </c>
      <c r="J691" t="s">
        <v>26</v>
      </c>
      <c r="K691" s="13">
        <f>HR_Data[[#This Row],[Salary]]+HR_Data[[#This Row],[Bonus]]</f>
        <v>50862</v>
      </c>
    </row>
    <row r="692" spans="1:11" x14ac:dyDescent="0.25">
      <c r="A692">
        <v>1691</v>
      </c>
      <c r="B692" t="s">
        <v>732</v>
      </c>
      <c r="C692" t="s">
        <v>2042</v>
      </c>
      <c r="D692" t="s">
        <v>15</v>
      </c>
      <c r="E692" t="s">
        <v>17</v>
      </c>
      <c r="F692" t="s">
        <v>21</v>
      </c>
      <c r="G692">
        <v>37</v>
      </c>
      <c r="H692" s="13">
        <v>73517</v>
      </c>
      <c r="I692" s="13">
        <v>24477</v>
      </c>
      <c r="J692" t="s">
        <v>26</v>
      </c>
      <c r="K692" s="13">
        <f>HR_Data[[#This Row],[Salary]]+HR_Data[[#This Row],[Bonus]]</f>
        <v>97994</v>
      </c>
    </row>
    <row r="693" spans="1:11" x14ac:dyDescent="0.25">
      <c r="A693">
        <v>1692</v>
      </c>
      <c r="B693" t="s">
        <v>733</v>
      </c>
      <c r="C693" t="s">
        <v>8</v>
      </c>
      <c r="D693" t="s">
        <v>15</v>
      </c>
      <c r="E693" t="s">
        <v>19</v>
      </c>
      <c r="F693" t="s">
        <v>21</v>
      </c>
      <c r="G693">
        <v>46</v>
      </c>
      <c r="H693" s="13">
        <v>54012</v>
      </c>
      <c r="I693" s="13">
        <v>15411</v>
      </c>
      <c r="J693" t="s">
        <v>25</v>
      </c>
      <c r="K693" s="13">
        <f>HR_Data[[#This Row],[Salary]]+HR_Data[[#This Row],[Bonus]]</f>
        <v>69423</v>
      </c>
    </row>
    <row r="694" spans="1:11" x14ac:dyDescent="0.25">
      <c r="A694">
        <v>1693</v>
      </c>
      <c r="B694" t="s">
        <v>734</v>
      </c>
      <c r="C694" t="s">
        <v>11</v>
      </c>
      <c r="D694" t="s">
        <v>14</v>
      </c>
      <c r="E694" t="s">
        <v>19</v>
      </c>
      <c r="F694" t="s">
        <v>23</v>
      </c>
      <c r="G694">
        <v>33</v>
      </c>
      <c r="H694" s="13">
        <v>31415</v>
      </c>
      <c r="I694" s="13">
        <v>26695</v>
      </c>
      <c r="J694" t="s">
        <v>26</v>
      </c>
      <c r="K694" s="13">
        <f>HR_Data[[#This Row],[Salary]]+HR_Data[[#This Row],[Bonus]]</f>
        <v>58110</v>
      </c>
    </row>
    <row r="695" spans="1:11" x14ac:dyDescent="0.25">
      <c r="A695">
        <v>1694</v>
      </c>
      <c r="B695" t="s">
        <v>735</v>
      </c>
      <c r="C695" t="s">
        <v>12</v>
      </c>
      <c r="D695" t="s">
        <v>14</v>
      </c>
      <c r="E695" t="s">
        <v>18</v>
      </c>
      <c r="F695" t="s">
        <v>21</v>
      </c>
      <c r="G695">
        <v>28</v>
      </c>
      <c r="H695" s="13">
        <v>59534</v>
      </c>
      <c r="I695" s="13">
        <v>18388</v>
      </c>
      <c r="J695" t="s">
        <v>25</v>
      </c>
      <c r="K695" s="13">
        <f>HR_Data[[#This Row],[Salary]]+HR_Data[[#This Row],[Bonus]]</f>
        <v>77922</v>
      </c>
    </row>
    <row r="696" spans="1:11" x14ac:dyDescent="0.25">
      <c r="A696">
        <v>1695</v>
      </c>
      <c r="B696" t="s">
        <v>736</v>
      </c>
      <c r="C696" t="s">
        <v>8</v>
      </c>
      <c r="D696" t="s">
        <v>15</v>
      </c>
      <c r="E696" t="s">
        <v>20</v>
      </c>
      <c r="F696" t="s">
        <v>23</v>
      </c>
      <c r="G696">
        <v>38</v>
      </c>
      <c r="H696" s="13">
        <v>41686</v>
      </c>
      <c r="I696" s="13">
        <v>22771</v>
      </c>
      <c r="J696" t="s">
        <v>25</v>
      </c>
      <c r="K696" s="13">
        <f>HR_Data[[#This Row],[Salary]]+HR_Data[[#This Row],[Bonus]]</f>
        <v>64457</v>
      </c>
    </row>
    <row r="697" spans="1:11" x14ac:dyDescent="0.25">
      <c r="A697">
        <v>1696</v>
      </c>
      <c r="B697" t="s">
        <v>737</v>
      </c>
      <c r="C697" t="s">
        <v>12</v>
      </c>
      <c r="D697" t="s">
        <v>15</v>
      </c>
      <c r="E697" t="s">
        <v>20</v>
      </c>
      <c r="F697" t="s">
        <v>24</v>
      </c>
      <c r="G697">
        <v>32</v>
      </c>
      <c r="H697" s="13">
        <v>97198</v>
      </c>
      <c r="I697" s="13">
        <v>9274</v>
      </c>
      <c r="J697" t="s">
        <v>25</v>
      </c>
      <c r="K697" s="13">
        <f>HR_Data[[#This Row],[Salary]]+HR_Data[[#This Row],[Bonus]]</f>
        <v>106472</v>
      </c>
    </row>
    <row r="698" spans="1:11" x14ac:dyDescent="0.25">
      <c r="A698">
        <v>1697</v>
      </c>
      <c r="B698" t="s">
        <v>738</v>
      </c>
      <c r="C698" t="s">
        <v>12</v>
      </c>
      <c r="D698" t="s">
        <v>15</v>
      </c>
      <c r="E698" t="s">
        <v>16</v>
      </c>
      <c r="F698" t="s">
        <v>23</v>
      </c>
      <c r="G698">
        <v>27</v>
      </c>
      <c r="H698" s="13">
        <v>48743</v>
      </c>
      <c r="I698" s="13">
        <v>7285</v>
      </c>
      <c r="J698" t="s">
        <v>25</v>
      </c>
      <c r="K698" s="13">
        <f>HR_Data[[#This Row],[Salary]]+HR_Data[[#This Row],[Bonus]]</f>
        <v>56028</v>
      </c>
    </row>
    <row r="699" spans="1:11" x14ac:dyDescent="0.25">
      <c r="A699">
        <v>1698</v>
      </c>
      <c r="B699" t="s">
        <v>739</v>
      </c>
      <c r="C699" t="s">
        <v>12</v>
      </c>
      <c r="D699" t="s">
        <v>15</v>
      </c>
      <c r="E699" t="s">
        <v>16</v>
      </c>
      <c r="F699" t="s">
        <v>21</v>
      </c>
      <c r="G699">
        <v>44</v>
      </c>
      <c r="H699" s="13">
        <v>52161</v>
      </c>
      <c r="I699" s="13">
        <v>24590</v>
      </c>
      <c r="J699" t="s">
        <v>25</v>
      </c>
      <c r="K699" s="13">
        <f>HR_Data[[#This Row],[Salary]]+HR_Data[[#This Row],[Bonus]]</f>
        <v>76751</v>
      </c>
    </row>
    <row r="700" spans="1:11" x14ac:dyDescent="0.25">
      <c r="A700">
        <v>1699</v>
      </c>
      <c r="B700" t="s">
        <v>740</v>
      </c>
      <c r="C700" t="s">
        <v>11</v>
      </c>
      <c r="D700" t="s">
        <v>15</v>
      </c>
      <c r="E700" t="s">
        <v>17</v>
      </c>
      <c r="F700" t="s">
        <v>23</v>
      </c>
      <c r="G700">
        <v>48</v>
      </c>
      <c r="H700" s="13">
        <v>81313</v>
      </c>
      <c r="I700" s="13">
        <v>24308</v>
      </c>
      <c r="J700" t="s">
        <v>25</v>
      </c>
      <c r="K700" s="13">
        <f>HR_Data[[#This Row],[Salary]]+HR_Data[[#This Row],[Bonus]]</f>
        <v>105621</v>
      </c>
    </row>
    <row r="701" spans="1:11" x14ac:dyDescent="0.25">
      <c r="A701">
        <v>1700</v>
      </c>
      <c r="B701" t="s">
        <v>741</v>
      </c>
      <c r="C701" t="s">
        <v>2042</v>
      </c>
      <c r="D701" t="s">
        <v>15</v>
      </c>
      <c r="E701" t="s">
        <v>18</v>
      </c>
      <c r="F701" t="s">
        <v>22</v>
      </c>
      <c r="G701">
        <v>27</v>
      </c>
      <c r="H701" s="13">
        <v>22402</v>
      </c>
      <c r="I701" s="13">
        <v>12045</v>
      </c>
      <c r="J701" t="s">
        <v>25</v>
      </c>
      <c r="K701" s="13">
        <f>HR_Data[[#This Row],[Salary]]+HR_Data[[#This Row],[Bonus]]</f>
        <v>34447</v>
      </c>
    </row>
    <row r="702" spans="1:11" x14ac:dyDescent="0.25">
      <c r="A702">
        <v>1701</v>
      </c>
      <c r="B702" t="s">
        <v>742</v>
      </c>
      <c r="C702" t="s">
        <v>11</v>
      </c>
      <c r="D702" t="s">
        <v>14</v>
      </c>
      <c r="E702" t="s">
        <v>16</v>
      </c>
      <c r="F702" t="s">
        <v>24</v>
      </c>
      <c r="G702">
        <v>59</v>
      </c>
      <c r="H702" s="13">
        <v>83190</v>
      </c>
      <c r="I702" s="13">
        <v>29855</v>
      </c>
      <c r="J702" t="s">
        <v>25</v>
      </c>
      <c r="K702" s="13">
        <f>HR_Data[[#This Row],[Salary]]+HR_Data[[#This Row],[Bonus]]</f>
        <v>113045</v>
      </c>
    </row>
    <row r="703" spans="1:11" x14ac:dyDescent="0.25">
      <c r="A703">
        <v>1702</v>
      </c>
      <c r="B703" t="s">
        <v>743</v>
      </c>
      <c r="C703" t="s">
        <v>10</v>
      </c>
      <c r="D703" t="s">
        <v>15</v>
      </c>
      <c r="E703" t="s">
        <v>16</v>
      </c>
      <c r="F703" t="s">
        <v>24</v>
      </c>
      <c r="G703">
        <v>23</v>
      </c>
      <c r="H703" s="13">
        <v>72551</v>
      </c>
      <c r="I703" s="13">
        <v>6618</v>
      </c>
      <c r="J703" t="s">
        <v>25</v>
      </c>
      <c r="K703" s="13">
        <f>HR_Data[[#This Row],[Salary]]+HR_Data[[#This Row],[Bonus]]</f>
        <v>79169</v>
      </c>
    </row>
    <row r="704" spans="1:11" x14ac:dyDescent="0.25">
      <c r="A704">
        <v>1703</v>
      </c>
      <c r="B704" t="s">
        <v>744</v>
      </c>
      <c r="C704" t="s">
        <v>8</v>
      </c>
      <c r="D704" t="s">
        <v>14</v>
      </c>
      <c r="E704" t="s">
        <v>18</v>
      </c>
      <c r="F704" t="s">
        <v>23</v>
      </c>
      <c r="G704">
        <v>43</v>
      </c>
      <c r="H704" s="13">
        <v>33275</v>
      </c>
      <c r="I704" s="13">
        <v>15979</v>
      </c>
      <c r="J704" t="s">
        <v>25</v>
      </c>
      <c r="K704" s="13">
        <f>HR_Data[[#This Row],[Salary]]+HR_Data[[#This Row],[Bonus]]</f>
        <v>49254</v>
      </c>
    </row>
    <row r="705" spans="1:11" x14ac:dyDescent="0.25">
      <c r="A705">
        <v>1704</v>
      </c>
      <c r="B705" t="s">
        <v>745</v>
      </c>
      <c r="C705" t="s">
        <v>2042</v>
      </c>
      <c r="D705" t="s">
        <v>15</v>
      </c>
      <c r="E705" t="s">
        <v>17</v>
      </c>
      <c r="F705" t="s">
        <v>21</v>
      </c>
      <c r="G705">
        <v>41</v>
      </c>
      <c r="H705" s="13">
        <v>48182</v>
      </c>
      <c r="I705" s="13">
        <v>13562</v>
      </c>
      <c r="J705" t="s">
        <v>25</v>
      </c>
      <c r="K705" s="13">
        <f>HR_Data[[#This Row],[Salary]]+HR_Data[[#This Row],[Bonus]]</f>
        <v>61744</v>
      </c>
    </row>
    <row r="706" spans="1:11" x14ac:dyDescent="0.25">
      <c r="A706">
        <v>1705</v>
      </c>
      <c r="B706" t="s">
        <v>746</v>
      </c>
      <c r="C706" t="s">
        <v>2042</v>
      </c>
      <c r="D706" t="s">
        <v>15</v>
      </c>
      <c r="E706" t="s">
        <v>16</v>
      </c>
      <c r="F706" t="s">
        <v>22</v>
      </c>
      <c r="G706">
        <v>46</v>
      </c>
      <c r="H706" s="13">
        <v>34915</v>
      </c>
      <c r="I706" s="13">
        <v>27280</v>
      </c>
      <c r="J706" t="s">
        <v>25</v>
      </c>
      <c r="K706" s="13">
        <f>HR_Data[[#This Row],[Salary]]+HR_Data[[#This Row],[Bonus]]</f>
        <v>62195</v>
      </c>
    </row>
    <row r="707" spans="1:11" x14ac:dyDescent="0.25">
      <c r="A707">
        <v>1706</v>
      </c>
      <c r="B707" t="s">
        <v>747</v>
      </c>
      <c r="C707" t="s">
        <v>2042</v>
      </c>
      <c r="D707" t="s">
        <v>14</v>
      </c>
      <c r="E707" t="s">
        <v>17</v>
      </c>
      <c r="F707" t="s">
        <v>24</v>
      </c>
      <c r="G707">
        <v>36</v>
      </c>
      <c r="H707" s="13">
        <v>20909</v>
      </c>
      <c r="I707" s="13">
        <v>17026</v>
      </c>
      <c r="J707" t="s">
        <v>25</v>
      </c>
      <c r="K707" s="13">
        <f>HR_Data[[#This Row],[Salary]]+HR_Data[[#This Row],[Bonus]]</f>
        <v>37935</v>
      </c>
    </row>
    <row r="708" spans="1:11" x14ac:dyDescent="0.25">
      <c r="A708">
        <v>1707</v>
      </c>
      <c r="B708" t="s">
        <v>748</v>
      </c>
      <c r="C708" t="s">
        <v>2042</v>
      </c>
      <c r="D708" t="s">
        <v>14</v>
      </c>
      <c r="E708" t="s">
        <v>19</v>
      </c>
      <c r="F708" t="s">
        <v>24</v>
      </c>
      <c r="G708">
        <v>50</v>
      </c>
      <c r="H708" s="13">
        <v>85908</v>
      </c>
      <c r="I708" s="13">
        <v>12843</v>
      </c>
      <c r="J708" t="s">
        <v>25</v>
      </c>
      <c r="K708" s="13">
        <f>HR_Data[[#This Row],[Salary]]+HR_Data[[#This Row],[Bonus]]</f>
        <v>98751</v>
      </c>
    </row>
    <row r="709" spans="1:11" x14ac:dyDescent="0.25">
      <c r="A709">
        <v>1708</v>
      </c>
      <c r="B709" t="s">
        <v>749</v>
      </c>
      <c r="C709" t="s">
        <v>11</v>
      </c>
      <c r="D709" t="s">
        <v>14</v>
      </c>
      <c r="E709" t="s">
        <v>17</v>
      </c>
      <c r="F709" t="s">
        <v>21</v>
      </c>
      <c r="G709">
        <v>29</v>
      </c>
      <c r="H709" s="13">
        <v>42620</v>
      </c>
      <c r="I709" s="13">
        <v>14895</v>
      </c>
      <c r="J709" t="s">
        <v>25</v>
      </c>
      <c r="K709" s="13">
        <f>HR_Data[[#This Row],[Salary]]+HR_Data[[#This Row],[Bonus]]</f>
        <v>57515</v>
      </c>
    </row>
    <row r="710" spans="1:11" x14ac:dyDescent="0.25">
      <c r="A710">
        <v>1709</v>
      </c>
      <c r="B710" t="s">
        <v>750</v>
      </c>
      <c r="C710" t="s">
        <v>2042</v>
      </c>
      <c r="D710" t="s">
        <v>14</v>
      </c>
      <c r="E710" t="s">
        <v>20</v>
      </c>
      <c r="F710" t="s">
        <v>21</v>
      </c>
      <c r="G710">
        <v>58</v>
      </c>
      <c r="H710" s="13">
        <v>54112</v>
      </c>
      <c r="I710" s="13">
        <v>28447</v>
      </c>
      <c r="J710" t="s">
        <v>25</v>
      </c>
      <c r="K710" s="13">
        <f>HR_Data[[#This Row],[Salary]]+HR_Data[[#This Row],[Bonus]]</f>
        <v>82559</v>
      </c>
    </row>
    <row r="711" spans="1:11" x14ac:dyDescent="0.25">
      <c r="A711">
        <v>1710</v>
      </c>
      <c r="B711" t="s">
        <v>751</v>
      </c>
      <c r="C711" t="s">
        <v>9</v>
      </c>
      <c r="D711" t="s">
        <v>15</v>
      </c>
      <c r="E711" t="s">
        <v>20</v>
      </c>
      <c r="F711" t="s">
        <v>22</v>
      </c>
      <c r="G711">
        <v>54</v>
      </c>
      <c r="H711" s="13">
        <v>94051</v>
      </c>
      <c r="I711" s="13">
        <v>29879</v>
      </c>
      <c r="J711" t="s">
        <v>26</v>
      </c>
      <c r="K711" s="13">
        <f>HR_Data[[#This Row],[Salary]]+HR_Data[[#This Row],[Bonus]]</f>
        <v>123930</v>
      </c>
    </row>
    <row r="712" spans="1:11" x14ac:dyDescent="0.25">
      <c r="A712">
        <v>1711</v>
      </c>
      <c r="B712" t="s">
        <v>752</v>
      </c>
      <c r="C712" t="s">
        <v>8</v>
      </c>
      <c r="D712" t="s">
        <v>14</v>
      </c>
      <c r="E712" t="s">
        <v>17</v>
      </c>
      <c r="F712" t="s">
        <v>23</v>
      </c>
      <c r="G712">
        <v>43</v>
      </c>
      <c r="H712" s="13">
        <v>22431</v>
      </c>
      <c r="I712" s="13">
        <v>16966</v>
      </c>
      <c r="J712" t="s">
        <v>25</v>
      </c>
      <c r="K712" s="13">
        <f>HR_Data[[#This Row],[Salary]]+HR_Data[[#This Row],[Bonus]]</f>
        <v>39397</v>
      </c>
    </row>
    <row r="713" spans="1:11" x14ac:dyDescent="0.25">
      <c r="A713">
        <v>1712</v>
      </c>
      <c r="B713" t="s">
        <v>753</v>
      </c>
      <c r="C713" t="s">
        <v>2042</v>
      </c>
      <c r="D713" t="s">
        <v>15</v>
      </c>
      <c r="E713" t="s">
        <v>20</v>
      </c>
      <c r="F713" t="s">
        <v>21</v>
      </c>
      <c r="G713">
        <v>26</v>
      </c>
      <c r="H713" s="13">
        <v>106590</v>
      </c>
      <c r="I713" s="13">
        <v>22732</v>
      </c>
      <c r="J713" t="s">
        <v>25</v>
      </c>
      <c r="K713" s="13">
        <f>HR_Data[[#This Row],[Salary]]+HR_Data[[#This Row],[Bonus]]</f>
        <v>129322</v>
      </c>
    </row>
    <row r="714" spans="1:11" x14ac:dyDescent="0.25">
      <c r="A714">
        <v>1713</v>
      </c>
      <c r="B714" t="s">
        <v>754</v>
      </c>
      <c r="C714" t="s">
        <v>8</v>
      </c>
      <c r="D714" t="s">
        <v>14</v>
      </c>
      <c r="E714" t="s">
        <v>19</v>
      </c>
      <c r="F714" t="s">
        <v>23</v>
      </c>
      <c r="G714">
        <v>39</v>
      </c>
      <c r="H714" s="13">
        <v>82175</v>
      </c>
      <c r="I714" s="13">
        <v>26940</v>
      </c>
      <c r="J714" t="s">
        <v>25</v>
      </c>
      <c r="K714" s="13">
        <f>HR_Data[[#This Row],[Salary]]+HR_Data[[#This Row],[Bonus]]</f>
        <v>109115</v>
      </c>
    </row>
    <row r="715" spans="1:11" x14ac:dyDescent="0.25">
      <c r="A715">
        <v>1714</v>
      </c>
      <c r="B715" t="s">
        <v>755</v>
      </c>
      <c r="C715" t="s">
        <v>9</v>
      </c>
      <c r="D715" t="s">
        <v>15</v>
      </c>
      <c r="E715" t="s">
        <v>18</v>
      </c>
      <c r="F715" t="s">
        <v>22</v>
      </c>
      <c r="G715">
        <v>59</v>
      </c>
      <c r="H715" s="13">
        <v>52624</v>
      </c>
      <c r="I715" s="13">
        <v>10289</v>
      </c>
      <c r="J715" t="s">
        <v>26</v>
      </c>
      <c r="K715" s="13">
        <f>HR_Data[[#This Row],[Salary]]+HR_Data[[#This Row],[Bonus]]</f>
        <v>62913</v>
      </c>
    </row>
    <row r="716" spans="1:11" x14ac:dyDescent="0.25">
      <c r="A716">
        <v>1715</v>
      </c>
      <c r="B716" t="s">
        <v>756</v>
      </c>
      <c r="C716" t="s">
        <v>9</v>
      </c>
      <c r="D716" t="s">
        <v>15</v>
      </c>
      <c r="E716" t="s">
        <v>20</v>
      </c>
      <c r="F716" t="s">
        <v>23</v>
      </c>
      <c r="G716">
        <v>58</v>
      </c>
      <c r="H716" s="13">
        <v>96121</v>
      </c>
      <c r="I716" s="13">
        <v>23806</v>
      </c>
      <c r="J716" t="s">
        <v>25</v>
      </c>
      <c r="K716" s="13">
        <f>HR_Data[[#This Row],[Salary]]+HR_Data[[#This Row],[Bonus]]</f>
        <v>119927</v>
      </c>
    </row>
    <row r="717" spans="1:11" x14ac:dyDescent="0.25">
      <c r="A717">
        <v>1716</v>
      </c>
      <c r="B717" t="s">
        <v>757</v>
      </c>
      <c r="C717" t="s">
        <v>8</v>
      </c>
      <c r="D717" t="s">
        <v>15</v>
      </c>
      <c r="E717" t="s">
        <v>20</v>
      </c>
      <c r="F717" t="s">
        <v>24</v>
      </c>
      <c r="G717">
        <v>51</v>
      </c>
      <c r="H717" s="13">
        <v>81264</v>
      </c>
      <c r="I717" s="13">
        <v>25012</v>
      </c>
      <c r="J717" t="s">
        <v>25</v>
      </c>
      <c r="K717" s="13">
        <f>HR_Data[[#This Row],[Salary]]+HR_Data[[#This Row],[Bonus]]</f>
        <v>106276</v>
      </c>
    </row>
    <row r="718" spans="1:11" x14ac:dyDescent="0.25">
      <c r="A718">
        <v>1717</v>
      </c>
      <c r="B718" t="s">
        <v>758</v>
      </c>
      <c r="C718" t="s">
        <v>12</v>
      </c>
      <c r="D718" t="s">
        <v>15</v>
      </c>
      <c r="E718" t="s">
        <v>17</v>
      </c>
      <c r="F718" t="s">
        <v>23</v>
      </c>
      <c r="G718">
        <v>52</v>
      </c>
      <c r="H718" s="13">
        <v>51958</v>
      </c>
      <c r="I718" s="13">
        <v>23812</v>
      </c>
      <c r="J718" t="s">
        <v>25</v>
      </c>
      <c r="K718" s="13">
        <f>HR_Data[[#This Row],[Salary]]+HR_Data[[#This Row],[Bonus]]</f>
        <v>75770</v>
      </c>
    </row>
    <row r="719" spans="1:11" x14ac:dyDescent="0.25">
      <c r="A719">
        <v>1718</v>
      </c>
      <c r="B719" t="s">
        <v>759</v>
      </c>
      <c r="C719" t="s">
        <v>10</v>
      </c>
      <c r="D719" t="s">
        <v>15</v>
      </c>
      <c r="E719" t="s">
        <v>19</v>
      </c>
      <c r="F719" t="s">
        <v>22</v>
      </c>
      <c r="G719">
        <v>31</v>
      </c>
      <c r="H719" s="13">
        <v>21695</v>
      </c>
      <c r="I719" s="13">
        <v>8033</v>
      </c>
      <c r="J719" t="s">
        <v>25</v>
      </c>
      <c r="K719" s="13">
        <f>HR_Data[[#This Row],[Salary]]+HR_Data[[#This Row],[Bonus]]</f>
        <v>29728</v>
      </c>
    </row>
    <row r="720" spans="1:11" x14ac:dyDescent="0.25">
      <c r="A720">
        <v>1719</v>
      </c>
      <c r="B720" t="s">
        <v>760</v>
      </c>
      <c r="C720" t="s">
        <v>12</v>
      </c>
      <c r="D720" t="s">
        <v>15</v>
      </c>
      <c r="E720" t="s">
        <v>18</v>
      </c>
      <c r="F720" t="s">
        <v>22</v>
      </c>
      <c r="G720">
        <v>36</v>
      </c>
      <c r="H720" s="13">
        <v>69554.53</v>
      </c>
      <c r="I720" s="13">
        <v>27541</v>
      </c>
      <c r="J720" t="s">
        <v>25</v>
      </c>
      <c r="K720" s="13">
        <f>HR_Data[[#This Row],[Salary]]+HR_Data[[#This Row],[Bonus]]</f>
        <v>97095.53</v>
      </c>
    </row>
    <row r="721" spans="1:11" x14ac:dyDescent="0.25">
      <c r="A721">
        <v>1720</v>
      </c>
      <c r="B721" t="s">
        <v>761</v>
      </c>
      <c r="C721" t="s">
        <v>27</v>
      </c>
      <c r="D721" t="s">
        <v>14</v>
      </c>
      <c r="E721" t="s">
        <v>17</v>
      </c>
      <c r="F721" t="s">
        <v>22</v>
      </c>
      <c r="G721">
        <v>39</v>
      </c>
      <c r="H721" s="13">
        <v>119323</v>
      </c>
      <c r="I721" s="13">
        <v>13860</v>
      </c>
      <c r="J721" t="s">
        <v>25</v>
      </c>
      <c r="K721" s="13">
        <f>HR_Data[[#This Row],[Salary]]+HR_Data[[#This Row],[Bonus]]</f>
        <v>133183</v>
      </c>
    </row>
    <row r="722" spans="1:11" x14ac:dyDescent="0.25">
      <c r="A722">
        <v>1721</v>
      </c>
      <c r="B722" t="s">
        <v>762</v>
      </c>
      <c r="C722" t="s">
        <v>11</v>
      </c>
      <c r="D722" t="s">
        <v>15</v>
      </c>
      <c r="E722" t="s">
        <v>17</v>
      </c>
      <c r="F722" t="s">
        <v>23</v>
      </c>
      <c r="G722">
        <v>44</v>
      </c>
      <c r="H722" s="13">
        <v>64225</v>
      </c>
      <c r="I722" s="13">
        <v>12813</v>
      </c>
      <c r="J722" t="s">
        <v>25</v>
      </c>
      <c r="K722" s="13">
        <f>HR_Data[[#This Row],[Salary]]+HR_Data[[#This Row],[Bonus]]</f>
        <v>77038</v>
      </c>
    </row>
    <row r="723" spans="1:11" x14ac:dyDescent="0.25">
      <c r="A723">
        <v>1722</v>
      </c>
      <c r="B723" t="s">
        <v>763</v>
      </c>
      <c r="C723" t="s">
        <v>12</v>
      </c>
      <c r="D723" t="s">
        <v>14</v>
      </c>
      <c r="E723" t="s">
        <v>19</v>
      </c>
      <c r="F723" t="s">
        <v>24</v>
      </c>
      <c r="G723">
        <v>54</v>
      </c>
      <c r="H723" s="13">
        <v>21403</v>
      </c>
      <c r="I723" s="13">
        <v>22798</v>
      </c>
      <c r="J723" t="s">
        <v>25</v>
      </c>
      <c r="K723" s="13">
        <f>HR_Data[[#This Row],[Salary]]+HR_Data[[#This Row],[Bonus]]</f>
        <v>44201</v>
      </c>
    </row>
    <row r="724" spans="1:11" x14ac:dyDescent="0.25">
      <c r="A724">
        <v>1723</v>
      </c>
      <c r="B724" t="s">
        <v>764</v>
      </c>
      <c r="C724" t="s">
        <v>2042</v>
      </c>
      <c r="D724" t="s">
        <v>14</v>
      </c>
      <c r="E724" t="s">
        <v>18</v>
      </c>
      <c r="F724" t="s">
        <v>21</v>
      </c>
      <c r="G724">
        <v>37</v>
      </c>
      <c r="H724" s="13">
        <v>103346</v>
      </c>
      <c r="I724" s="13">
        <v>18860</v>
      </c>
      <c r="J724" t="s">
        <v>25</v>
      </c>
      <c r="K724" s="13">
        <f>HR_Data[[#This Row],[Salary]]+HR_Data[[#This Row],[Bonus]]</f>
        <v>122206</v>
      </c>
    </row>
    <row r="725" spans="1:11" x14ac:dyDescent="0.25">
      <c r="A725">
        <v>1724</v>
      </c>
      <c r="B725" t="s">
        <v>765</v>
      </c>
      <c r="C725" t="s">
        <v>11</v>
      </c>
      <c r="D725" t="s">
        <v>15</v>
      </c>
      <c r="E725" t="s">
        <v>19</v>
      </c>
      <c r="F725" t="s">
        <v>24</v>
      </c>
      <c r="G725">
        <v>59</v>
      </c>
      <c r="H725" s="13">
        <v>69554.53</v>
      </c>
      <c r="I725" s="13">
        <v>28092</v>
      </c>
      <c r="J725" t="s">
        <v>25</v>
      </c>
      <c r="K725" s="13">
        <f>HR_Data[[#This Row],[Salary]]+HR_Data[[#This Row],[Bonus]]</f>
        <v>97646.53</v>
      </c>
    </row>
    <row r="726" spans="1:11" x14ac:dyDescent="0.25">
      <c r="A726">
        <v>1725</v>
      </c>
      <c r="B726" t="s">
        <v>766</v>
      </c>
      <c r="C726" t="s">
        <v>11</v>
      </c>
      <c r="D726" t="s">
        <v>14</v>
      </c>
      <c r="E726" t="s">
        <v>18</v>
      </c>
      <c r="F726" t="s">
        <v>23</v>
      </c>
      <c r="G726">
        <v>56</v>
      </c>
      <c r="H726" s="13">
        <v>58636</v>
      </c>
      <c r="I726" s="13">
        <v>19294</v>
      </c>
      <c r="J726" t="s">
        <v>25</v>
      </c>
      <c r="K726" s="13">
        <f>HR_Data[[#This Row],[Salary]]+HR_Data[[#This Row],[Bonus]]</f>
        <v>77930</v>
      </c>
    </row>
    <row r="727" spans="1:11" x14ac:dyDescent="0.25">
      <c r="A727">
        <v>1726</v>
      </c>
      <c r="B727" t="s">
        <v>767</v>
      </c>
      <c r="C727" t="s">
        <v>9</v>
      </c>
      <c r="D727" t="s">
        <v>15</v>
      </c>
      <c r="E727" t="s">
        <v>19</v>
      </c>
      <c r="F727" t="s">
        <v>23</v>
      </c>
      <c r="G727">
        <v>55</v>
      </c>
      <c r="H727" s="13">
        <v>30839</v>
      </c>
      <c r="I727" s="13">
        <v>28019</v>
      </c>
      <c r="J727" t="s">
        <v>26</v>
      </c>
      <c r="K727" s="13">
        <f>HR_Data[[#This Row],[Salary]]+HR_Data[[#This Row],[Bonus]]</f>
        <v>58858</v>
      </c>
    </row>
    <row r="728" spans="1:11" x14ac:dyDescent="0.25">
      <c r="A728">
        <v>1727</v>
      </c>
      <c r="B728" t="s">
        <v>768</v>
      </c>
      <c r="C728" t="s">
        <v>12</v>
      </c>
      <c r="D728" t="s">
        <v>14</v>
      </c>
      <c r="E728" t="s">
        <v>17</v>
      </c>
      <c r="F728" t="s">
        <v>21</v>
      </c>
      <c r="G728">
        <v>49</v>
      </c>
      <c r="H728" s="13">
        <v>85546</v>
      </c>
      <c r="I728" s="13">
        <v>8621</v>
      </c>
      <c r="J728" t="s">
        <v>25</v>
      </c>
      <c r="K728" s="13">
        <f>HR_Data[[#This Row],[Salary]]+HR_Data[[#This Row],[Bonus]]</f>
        <v>94167</v>
      </c>
    </row>
    <row r="729" spans="1:11" x14ac:dyDescent="0.25">
      <c r="A729">
        <v>1728</v>
      </c>
      <c r="B729" t="s">
        <v>769</v>
      </c>
      <c r="C729" t="s">
        <v>27</v>
      </c>
      <c r="D729" t="s">
        <v>15</v>
      </c>
      <c r="E729" t="s">
        <v>17</v>
      </c>
      <c r="F729" t="s">
        <v>23</v>
      </c>
      <c r="G729">
        <v>23</v>
      </c>
      <c r="H729" s="13">
        <v>67829</v>
      </c>
      <c r="I729" s="13">
        <v>26699</v>
      </c>
      <c r="J729" t="s">
        <v>25</v>
      </c>
      <c r="K729" s="13">
        <f>HR_Data[[#This Row],[Salary]]+HR_Data[[#This Row],[Bonus]]</f>
        <v>94528</v>
      </c>
    </row>
    <row r="730" spans="1:11" x14ac:dyDescent="0.25">
      <c r="A730">
        <v>1729</v>
      </c>
      <c r="B730" t="s">
        <v>770</v>
      </c>
      <c r="C730" t="s">
        <v>8</v>
      </c>
      <c r="D730" t="s">
        <v>14</v>
      </c>
      <c r="E730" t="s">
        <v>16</v>
      </c>
      <c r="F730" t="s">
        <v>22</v>
      </c>
      <c r="G730">
        <v>51</v>
      </c>
      <c r="H730" s="13">
        <v>29230</v>
      </c>
      <c r="I730" s="13">
        <v>22138</v>
      </c>
      <c r="J730" t="s">
        <v>25</v>
      </c>
      <c r="K730" s="13">
        <f>HR_Data[[#This Row],[Salary]]+HR_Data[[#This Row],[Bonus]]</f>
        <v>51368</v>
      </c>
    </row>
    <row r="731" spans="1:11" x14ac:dyDescent="0.25">
      <c r="A731">
        <v>1730</v>
      </c>
      <c r="B731" t="s">
        <v>771</v>
      </c>
      <c r="C731" t="s">
        <v>10</v>
      </c>
      <c r="D731" t="s">
        <v>15</v>
      </c>
      <c r="E731" t="s">
        <v>20</v>
      </c>
      <c r="F731" t="s">
        <v>22</v>
      </c>
      <c r="G731">
        <v>34</v>
      </c>
      <c r="H731" s="13">
        <v>71977</v>
      </c>
      <c r="I731" s="13">
        <v>7347</v>
      </c>
      <c r="J731" t="s">
        <v>25</v>
      </c>
      <c r="K731" s="13">
        <f>HR_Data[[#This Row],[Salary]]+HR_Data[[#This Row],[Bonus]]</f>
        <v>79324</v>
      </c>
    </row>
    <row r="732" spans="1:11" x14ac:dyDescent="0.25">
      <c r="A732">
        <v>1731</v>
      </c>
      <c r="B732" t="s">
        <v>772</v>
      </c>
      <c r="C732" t="s">
        <v>11</v>
      </c>
      <c r="D732" t="s">
        <v>15</v>
      </c>
      <c r="E732" t="s">
        <v>19</v>
      </c>
      <c r="F732" t="s">
        <v>22</v>
      </c>
      <c r="G732">
        <v>37</v>
      </c>
      <c r="H732" s="13">
        <v>60232</v>
      </c>
      <c r="I732" s="13">
        <v>19882</v>
      </c>
      <c r="J732" t="s">
        <v>25</v>
      </c>
      <c r="K732" s="13">
        <f>HR_Data[[#This Row],[Salary]]+HR_Data[[#This Row],[Bonus]]</f>
        <v>80114</v>
      </c>
    </row>
    <row r="733" spans="1:11" x14ac:dyDescent="0.25">
      <c r="A733">
        <v>1732</v>
      </c>
      <c r="B733" t="s">
        <v>773</v>
      </c>
      <c r="C733" t="s">
        <v>8</v>
      </c>
      <c r="D733" t="s">
        <v>15</v>
      </c>
      <c r="E733" t="s">
        <v>16</v>
      </c>
      <c r="F733" t="s">
        <v>22</v>
      </c>
      <c r="G733">
        <v>26</v>
      </c>
      <c r="H733" s="13">
        <v>69554.53</v>
      </c>
      <c r="I733" s="13">
        <v>22110</v>
      </c>
      <c r="J733" t="s">
        <v>25</v>
      </c>
      <c r="K733" s="13">
        <f>HR_Data[[#This Row],[Salary]]+HR_Data[[#This Row],[Bonus]]</f>
        <v>91664.53</v>
      </c>
    </row>
    <row r="734" spans="1:11" x14ac:dyDescent="0.25">
      <c r="A734">
        <v>1733</v>
      </c>
      <c r="B734" t="s">
        <v>774</v>
      </c>
      <c r="C734" t="s">
        <v>8</v>
      </c>
      <c r="D734" t="s">
        <v>15</v>
      </c>
      <c r="E734" t="s">
        <v>20</v>
      </c>
      <c r="F734" t="s">
        <v>22</v>
      </c>
      <c r="G734">
        <v>49</v>
      </c>
      <c r="H734" s="13">
        <v>45651</v>
      </c>
      <c r="I734" s="13">
        <v>9923</v>
      </c>
      <c r="J734" t="s">
        <v>25</v>
      </c>
      <c r="K734" s="13">
        <f>HR_Data[[#This Row],[Salary]]+HR_Data[[#This Row],[Bonus]]</f>
        <v>55574</v>
      </c>
    </row>
    <row r="735" spans="1:11" x14ac:dyDescent="0.25">
      <c r="A735">
        <v>1734</v>
      </c>
      <c r="B735" t="s">
        <v>775</v>
      </c>
      <c r="C735" t="s">
        <v>27</v>
      </c>
      <c r="D735" t="s">
        <v>14</v>
      </c>
      <c r="E735" t="s">
        <v>19</v>
      </c>
      <c r="F735" t="s">
        <v>23</v>
      </c>
      <c r="G735">
        <v>41</v>
      </c>
      <c r="H735" s="13">
        <v>117919</v>
      </c>
      <c r="I735" s="13">
        <v>24033</v>
      </c>
      <c r="J735" t="s">
        <v>25</v>
      </c>
      <c r="K735" s="13">
        <f>HR_Data[[#This Row],[Salary]]+HR_Data[[#This Row],[Bonus]]</f>
        <v>141952</v>
      </c>
    </row>
    <row r="736" spans="1:11" x14ac:dyDescent="0.25">
      <c r="A736">
        <v>1735</v>
      </c>
      <c r="B736" t="s">
        <v>776</v>
      </c>
      <c r="C736" t="s">
        <v>10</v>
      </c>
      <c r="D736" t="s">
        <v>15</v>
      </c>
      <c r="E736" t="s">
        <v>18</v>
      </c>
      <c r="F736" t="s">
        <v>21</v>
      </c>
      <c r="G736">
        <v>45</v>
      </c>
      <c r="H736" s="13">
        <v>59963</v>
      </c>
      <c r="I736" s="13">
        <v>20611</v>
      </c>
      <c r="J736" t="s">
        <v>25</v>
      </c>
      <c r="K736" s="13">
        <f>HR_Data[[#This Row],[Salary]]+HR_Data[[#This Row],[Bonus]]</f>
        <v>80574</v>
      </c>
    </row>
    <row r="737" spans="1:11" x14ac:dyDescent="0.25">
      <c r="A737">
        <v>1736</v>
      </c>
      <c r="B737" t="s">
        <v>777</v>
      </c>
      <c r="C737" t="s">
        <v>8</v>
      </c>
      <c r="D737" t="s">
        <v>14</v>
      </c>
      <c r="E737" t="s">
        <v>20</v>
      </c>
      <c r="F737" t="s">
        <v>21</v>
      </c>
      <c r="G737">
        <v>48</v>
      </c>
      <c r="H737" s="13">
        <v>75872</v>
      </c>
      <c r="I737" s="13">
        <v>20367</v>
      </c>
      <c r="J737" t="s">
        <v>26</v>
      </c>
      <c r="K737" s="13">
        <f>HR_Data[[#This Row],[Salary]]+HR_Data[[#This Row],[Bonus]]</f>
        <v>96239</v>
      </c>
    </row>
    <row r="738" spans="1:11" x14ac:dyDescent="0.25">
      <c r="A738">
        <v>1737</v>
      </c>
      <c r="B738" t="s">
        <v>778</v>
      </c>
      <c r="C738" t="s">
        <v>8</v>
      </c>
      <c r="D738" t="s">
        <v>14</v>
      </c>
      <c r="E738" t="s">
        <v>17</v>
      </c>
      <c r="F738" t="s">
        <v>22</v>
      </c>
      <c r="G738">
        <v>51</v>
      </c>
      <c r="H738" s="13">
        <v>69554.53</v>
      </c>
      <c r="I738" s="13">
        <v>24199</v>
      </c>
      <c r="J738" t="s">
        <v>25</v>
      </c>
      <c r="K738" s="13">
        <f>HR_Data[[#This Row],[Salary]]+HR_Data[[#This Row],[Bonus]]</f>
        <v>93753.53</v>
      </c>
    </row>
    <row r="739" spans="1:11" x14ac:dyDescent="0.25">
      <c r="A739">
        <v>1738</v>
      </c>
      <c r="B739" t="s">
        <v>779</v>
      </c>
      <c r="C739" t="s">
        <v>10</v>
      </c>
      <c r="D739" t="s">
        <v>14</v>
      </c>
      <c r="E739" t="s">
        <v>16</v>
      </c>
      <c r="F739" t="s">
        <v>23</v>
      </c>
      <c r="G739">
        <v>48</v>
      </c>
      <c r="H739" s="13">
        <v>33739</v>
      </c>
      <c r="I739" s="13">
        <v>14066</v>
      </c>
      <c r="J739" t="s">
        <v>25</v>
      </c>
      <c r="K739" s="13">
        <f>HR_Data[[#This Row],[Salary]]+HR_Data[[#This Row],[Bonus]]</f>
        <v>47805</v>
      </c>
    </row>
    <row r="740" spans="1:11" x14ac:dyDescent="0.25">
      <c r="A740">
        <v>1739</v>
      </c>
      <c r="B740" t="s">
        <v>780</v>
      </c>
      <c r="C740" t="s">
        <v>10</v>
      </c>
      <c r="D740" t="s">
        <v>15</v>
      </c>
      <c r="E740" t="s">
        <v>20</v>
      </c>
      <c r="F740" t="s">
        <v>24</v>
      </c>
      <c r="G740">
        <v>47</v>
      </c>
      <c r="H740" s="13">
        <v>83294</v>
      </c>
      <c r="I740" s="13">
        <v>8279</v>
      </c>
      <c r="J740" t="s">
        <v>25</v>
      </c>
      <c r="K740" s="13">
        <f>HR_Data[[#This Row],[Salary]]+HR_Data[[#This Row],[Bonus]]</f>
        <v>91573</v>
      </c>
    </row>
    <row r="741" spans="1:11" x14ac:dyDescent="0.25">
      <c r="A741">
        <v>1740</v>
      </c>
      <c r="B741" t="s">
        <v>781</v>
      </c>
      <c r="C741" t="s">
        <v>8</v>
      </c>
      <c r="D741" t="s">
        <v>14</v>
      </c>
      <c r="E741" t="s">
        <v>20</v>
      </c>
      <c r="F741" t="s">
        <v>24</v>
      </c>
      <c r="G741">
        <v>28</v>
      </c>
      <c r="H741" s="13">
        <v>68356</v>
      </c>
      <c r="I741" s="13">
        <v>24368</v>
      </c>
      <c r="J741" t="s">
        <v>25</v>
      </c>
      <c r="K741" s="13">
        <f>HR_Data[[#This Row],[Salary]]+HR_Data[[#This Row],[Bonus]]</f>
        <v>92724</v>
      </c>
    </row>
    <row r="742" spans="1:11" x14ac:dyDescent="0.25">
      <c r="A742">
        <v>1741</v>
      </c>
      <c r="B742" t="s">
        <v>782</v>
      </c>
      <c r="C742" t="s">
        <v>10</v>
      </c>
      <c r="D742" t="s">
        <v>14</v>
      </c>
      <c r="E742" t="s">
        <v>17</v>
      </c>
      <c r="F742" t="s">
        <v>23</v>
      </c>
      <c r="G742">
        <v>59</v>
      </c>
      <c r="H742" s="13">
        <v>21789</v>
      </c>
      <c r="I742" s="13">
        <v>8807</v>
      </c>
      <c r="J742" t="s">
        <v>25</v>
      </c>
      <c r="K742" s="13">
        <f>HR_Data[[#This Row],[Salary]]+HR_Data[[#This Row],[Bonus]]</f>
        <v>30596</v>
      </c>
    </row>
    <row r="743" spans="1:11" x14ac:dyDescent="0.25">
      <c r="A743">
        <v>1742</v>
      </c>
      <c r="B743" t="s">
        <v>783</v>
      </c>
      <c r="C743" t="s">
        <v>8</v>
      </c>
      <c r="D743" t="s">
        <v>14</v>
      </c>
      <c r="E743" t="s">
        <v>19</v>
      </c>
      <c r="F743" t="s">
        <v>22</v>
      </c>
      <c r="G743">
        <v>26</v>
      </c>
      <c r="H743" s="13">
        <v>39420</v>
      </c>
      <c r="I743" s="13">
        <v>29260</v>
      </c>
      <c r="J743" t="s">
        <v>26</v>
      </c>
      <c r="K743" s="13">
        <f>HR_Data[[#This Row],[Salary]]+HR_Data[[#This Row],[Bonus]]</f>
        <v>68680</v>
      </c>
    </row>
    <row r="744" spans="1:11" x14ac:dyDescent="0.25">
      <c r="A744">
        <v>1743</v>
      </c>
      <c r="B744" t="s">
        <v>784</v>
      </c>
      <c r="C744" t="s">
        <v>8</v>
      </c>
      <c r="D744" t="s">
        <v>15</v>
      </c>
      <c r="E744" t="s">
        <v>18</v>
      </c>
      <c r="F744" t="s">
        <v>21</v>
      </c>
      <c r="G744">
        <v>44</v>
      </c>
      <c r="H744" s="13">
        <v>69554.53</v>
      </c>
      <c r="I744" s="13">
        <v>27483</v>
      </c>
      <c r="J744" t="s">
        <v>25</v>
      </c>
      <c r="K744" s="13">
        <f>HR_Data[[#This Row],[Salary]]+HR_Data[[#This Row],[Bonus]]</f>
        <v>97037.53</v>
      </c>
    </row>
    <row r="745" spans="1:11" x14ac:dyDescent="0.25">
      <c r="A745">
        <v>1744</v>
      </c>
      <c r="B745" t="s">
        <v>785</v>
      </c>
      <c r="C745" t="s">
        <v>2042</v>
      </c>
      <c r="D745" t="s">
        <v>15</v>
      </c>
      <c r="E745" t="s">
        <v>17</v>
      </c>
      <c r="F745" t="s">
        <v>23</v>
      </c>
      <c r="G745">
        <v>49</v>
      </c>
      <c r="H745" s="13">
        <v>57606</v>
      </c>
      <c r="I745" s="13">
        <v>18965</v>
      </c>
      <c r="J745" t="s">
        <v>25</v>
      </c>
      <c r="K745" s="13">
        <f>HR_Data[[#This Row],[Salary]]+HR_Data[[#This Row],[Bonus]]</f>
        <v>76571</v>
      </c>
    </row>
    <row r="746" spans="1:11" x14ac:dyDescent="0.25">
      <c r="A746">
        <v>1745</v>
      </c>
      <c r="B746" t="s">
        <v>786</v>
      </c>
      <c r="C746" t="s">
        <v>12</v>
      </c>
      <c r="D746" t="s">
        <v>14</v>
      </c>
      <c r="E746" t="s">
        <v>18</v>
      </c>
      <c r="F746" t="s">
        <v>24</v>
      </c>
      <c r="G746">
        <v>55</v>
      </c>
      <c r="H746" s="13">
        <v>58640</v>
      </c>
      <c r="I746" s="13">
        <v>21123</v>
      </c>
      <c r="J746" t="s">
        <v>25</v>
      </c>
      <c r="K746" s="13">
        <f>HR_Data[[#This Row],[Salary]]+HR_Data[[#This Row],[Bonus]]</f>
        <v>79763</v>
      </c>
    </row>
    <row r="747" spans="1:11" x14ac:dyDescent="0.25">
      <c r="A747">
        <v>1746</v>
      </c>
      <c r="B747" t="s">
        <v>787</v>
      </c>
      <c r="C747" t="s">
        <v>8</v>
      </c>
      <c r="D747" t="s">
        <v>15</v>
      </c>
      <c r="E747" t="s">
        <v>19</v>
      </c>
      <c r="F747" t="s">
        <v>24</v>
      </c>
      <c r="G747">
        <v>36</v>
      </c>
      <c r="H747" s="13">
        <v>64135</v>
      </c>
      <c r="I747" s="13">
        <v>21991</v>
      </c>
      <c r="J747" t="s">
        <v>25</v>
      </c>
      <c r="K747" s="13">
        <f>HR_Data[[#This Row],[Salary]]+HR_Data[[#This Row],[Bonus]]</f>
        <v>86126</v>
      </c>
    </row>
    <row r="748" spans="1:11" x14ac:dyDescent="0.25">
      <c r="A748">
        <v>1747</v>
      </c>
      <c r="B748" t="s">
        <v>788</v>
      </c>
      <c r="C748" t="s">
        <v>9</v>
      </c>
      <c r="D748" t="s">
        <v>15</v>
      </c>
      <c r="E748" t="s">
        <v>20</v>
      </c>
      <c r="F748" t="s">
        <v>24</v>
      </c>
      <c r="G748">
        <v>53</v>
      </c>
      <c r="H748" s="13">
        <v>57067</v>
      </c>
      <c r="I748" s="13">
        <v>27553</v>
      </c>
      <c r="J748" t="s">
        <v>25</v>
      </c>
      <c r="K748" s="13">
        <f>HR_Data[[#This Row],[Salary]]+HR_Data[[#This Row],[Bonus]]</f>
        <v>84620</v>
      </c>
    </row>
    <row r="749" spans="1:11" x14ac:dyDescent="0.25">
      <c r="A749">
        <v>1748</v>
      </c>
      <c r="B749" t="s">
        <v>789</v>
      </c>
      <c r="C749" t="s">
        <v>11</v>
      </c>
      <c r="D749" t="s">
        <v>14</v>
      </c>
      <c r="E749" t="s">
        <v>18</v>
      </c>
      <c r="F749" t="s">
        <v>22</v>
      </c>
      <c r="G749">
        <v>47</v>
      </c>
      <c r="H749" s="13">
        <v>78420</v>
      </c>
      <c r="I749" s="13">
        <v>29174</v>
      </c>
      <c r="J749" t="s">
        <v>26</v>
      </c>
      <c r="K749" s="13">
        <f>HR_Data[[#This Row],[Salary]]+HR_Data[[#This Row],[Bonus]]</f>
        <v>107594</v>
      </c>
    </row>
    <row r="750" spans="1:11" x14ac:dyDescent="0.25">
      <c r="A750">
        <v>1749</v>
      </c>
      <c r="B750" t="s">
        <v>790</v>
      </c>
      <c r="C750" t="s">
        <v>12</v>
      </c>
      <c r="D750" t="s">
        <v>14</v>
      </c>
      <c r="E750" t="s">
        <v>16</v>
      </c>
      <c r="F750" t="s">
        <v>24</v>
      </c>
      <c r="G750">
        <v>52</v>
      </c>
      <c r="H750" s="13">
        <v>37357</v>
      </c>
      <c r="I750" s="13">
        <v>26957</v>
      </c>
      <c r="J750" t="s">
        <v>25</v>
      </c>
      <c r="K750" s="13">
        <f>HR_Data[[#This Row],[Salary]]+HR_Data[[#This Row],[Bonus]]</f>
        <v>64314</v>
      </c>
    </row>
    <row r="751" spans="1:11" x14ac:dyDescent="0.25">
      <c r="A751">
        <v>1750</v>
      </c>
      <c r="B751" t="s">
        <v>791</v>
      </c>
      <c r="C751" t="s">
        <v>12</v>
      </c>
      <c r="D751" t="s">
        <v>15</v>
      </c>
      <c r="E751" t="s">
        <v>16</v>
      </c>
      <c r="F751" t="s">
        <v>23</v>
      </c>
      <c r="G751">
        <v>40</v>
      </c>
      <c r="H751" s="13">
        <v>59851</v>
      </c>
      <c r="I751" s="13">
        <v>5634</v>
      </c>
      <c r="J751" t="s">
        <v>25</v>
      </c>
      <c r="K751" s="13">
        <f>HR_Data[[#This Row],[Salary]]+HR_Data[[#This Row],[Bonus]]</f>
        <v>65485</v>
      </c>
    </row>
    <row r="752" spans="1:11" x14ac:dyDescent="0.25">
      <c r="A752">
        <v>1751</v>
      </c>
      <c r="B752" t="s">
        <v>792</v>
      </c>
      <c r="C752" t="s">
        <v>12</v>
      </c>
      <c r="D752" t="s">
        <v>14</v>
      </c>
      <c r="E752" t="s">
        <v>17</v>
      </c>
      <c r="F752" t="s">
        <v>23</v>
      </c>
      <c r="G752">
        <v>30</v>
      </c>
      <c r="H752" s="13">
        <v>58262</v>
      </c>
      <c r="I752" s="13">
        <v>17771</v>
      </c>
      <c r="J752" t="s">
        <v>25</v>
      </c>
      <c r="K752" s="13">
        <f>HR_Data[[#This Row],[Salary]]+HR_Data[[#This Row],[Bonus]]</f>
        <v>76033</v>
      </c>
    </row>
    <row r="753" spans="1:11" x14ac:dyDescent="0.25">
      <c r="A753">
        <v>1752</v>
      </c>
      <c r="B753" t="s">
        <v>793</v>
      </c>
      <c r="C753" t="s">
        <v>2042</v>
      </c>
      <c r="D753" t="s">
        <v>15</v>
      </c>
      <c r="E753" t="s">
        <v>19</v>
      </c>
      <c r="F753" t="s">
        <v>24</v>
      </c>
      <c r="G753">
        <v>50</v>
      </c>
      <c r="H753" s="13">
        <v>96853</v>
      </c>
      <c r="I753" s="13">
        <v>22458</v>
      </c>
      <c r="J753" t="s">
        <v>25</v>
      </c>
      <c r="K753" s="13">
        <f>HR_Data[[#This Row],[Salary]]+HR_Data[[#This Row],[Bonus]]</f>
        <v>119311</v>
      </c>
    </row>
    <row r="754" spans="1:11" x14ac:dyDescent="0.25">
      <c r="A754">
        <v>1753</v>
      </c>
      <c r="B754" t="s">
        <v>794</v>
      </c>
      <c r="C754" t="s">
        <v>8</v>
      </c>
      <c r="D754" t="s">
        <v>15</v>
      </c>
      <c r="E754" t="s">
        <v>17</v>
      </c>
      <c r="F754" t="s">
        <v>23</v>
      </c>
      <c r="G754">
        <v>25</v>
      </c>
      <c r="H754" s="13">
        <v>78643</v>
      </c>
      <c r="I754" s="13">
        <v>23298</v>
      </c>
      <c r="J754" t="s">
        <v>25</v>
      </c>
      <c r="K754" s="13">
        <f>HR_Data[[#This Row],[Salary]]+HR_Data[[#This Row],[Bonus]]</f>
        <v>101941</v>
      </c>
    </row>
    <row r="755" spans="1:11" x14ac:dyDescent="0.25">
      <c r="A755">
        <v>1754</v>
      </c>
      <c r="B755" t="s">
        <v>795</v>
      </c>
      <c r="C755" t="s">
        <v>2042</v>
      </c>
      <c r="D755" t="s">
        <v>15</v>
      </c>
      <c r="E755" t="s">
        <v>17</v>
      </c>
      <c r="F755" t="s">
        <v>24</v>
      </c>
      <c r="G755">
        <v>24</v>
      </c>
      <c r="H755" s="13">
        <v>41534</v>
      </c>
      <c r="I755" s="13">
        <v>19340</v>
      </c>
      <c r="J755" t="s">
        <v>25</v>
      </c>
      <c r="K755" s="13">
        <f>HR_Data[[#This Row],[Salary]]+HR_Data[[#This Row],[Bonus]]</f>
        <v>60874</v>
      </c>
    </row>
    <row r="756" spans="1:11" x14ac:dyDescent="0.25">
      <c r="A756">
        <v>1755</v>
      </c>
      <c r="B756" t="s">
        <v>796</v>
      </c>
      <c r="C756" t="s">
        <v>8</v>
      </c>
      <c r="D756" t="s">
        <v>15</v>
      </c>
      <c r="E756" t="s">
        <v>17</v>
      </c>
      <c r="F756" t="s">
        <v>24</v>
      </c>
      <c r="G756">
        <v>50</v>
      </c>
      <c r="H756" s="13">
        <v>111270</v>
      </c>
      <c r="I756" s="13">
        <v>5588</v>
      </c>
      <c r="J756" t="s">
        <v>26</v>
      </c>
      <c r="K756" s="13">
        <f>HR_Data[[#This Row],[Salary]]+HR_Data[[#This Row],[Bonus]]</f>
        <v>116858</v>
      </c>
    </row>
    <row r="757" spans="1:11" x14ac:dyDescent="0.25">
      <c r="A757">
        <v>1756</v>
      </c>
      <c r="B757" t="s">
        <v>797</v>
      </c>
      <c r="C757" t="s">
        <v>2042</v>
      </c>
      <c r="D757" t="s">
        <v>15</v>
      </c>
      <c r="E757" t="s">
        <v>16</v>
      </c>
      <c r="F757" t="s">
        <v>21</v>
      </c>
      <c r="G757">
        <v>32</v>
      </c>
      <c r="H757" s="13">
        <v>52872</v>
      </c>
      <c r="I757" s="13">
        <v>8231</v>
      </c>
      <c r="J757" t="s">
        <v>25</v>
      </c>
      <c r="K757" s="13">
        <f>HR_Data[[#This Row],[Salary]]+HR_Data[[#This Row],[Bonus]]</f>
        <v>61103</v>
      </c>
    </row>
    <row r="758" spans="1:11" x14ac:dyDescent="0.25">
      <c r="A758">
        <v>1757</v>
      </c>
      <c r="B758" t="s">
        <v>798</v>
      </c>
      <c r="C758" t="s">
        <v>2042</v>
      </c>
      <c r="D758" t="s">
        <v>15</v>
      </c>
      <c r="E758" t="s">
        <v>16</v>
      </c>
      <c r="F758" t="s">
        <v>22</v>
      </c>
      <c r="G758">
        <v>54</v>
      </c>
      <c r="H758" s="13">
        <v>27689</v>
      </c>
      <c r="I758" s="13">
        <v>11351</v>
      </c>
      <c r="J758" t="s">
        <v>25</v>
      </c>
      <c r="K758" s="13">
        <f>HR_Data[[#This Row],[Salary]]+HR_Data[[#This Row],[Bonus]]</f>
        <v>39040</v>
      </c>
    </row>
    <row r="759" spans="1:11" x14ac:dyDescent="0.25">
      <c r="A759">
        <v>1758</v>
      </c>
      <c r="B759" t="s">
        <v>799</v>
      </c>
      <c r="C759" t="s">
        <v>11</v>
      </c>
      <c r="D759" t="s">
        <v>14</v>
      </c>
      <c r="E759" t="s">
        <v>17</v>
      </c>
      <c r="F759" t="s">
        <v>22</v>
      </c>
      <c r="G759">
        <v>59</v>
      </c>
      <c r="H759" s="13">
        <v>89103</v>
      </c>
      <c r="I759" s="13">
        <v>8838</v>
      </c>
      <c r="J759" t="s">
        <v>25</v>
      </c>
      <c r="K759" s="13">
        <f>HR_Data[[#This Row],[Salary]]+HR_Data[[#This Row],[Bonus]]</f>
        <v>97941</v>
      </c>
    </row>
    <row r="760" spans="1:11" x14ac:dyDescent="0.25">
      <c r="A760">
        <v>1759</v>
      </c>
      <c r="B760" t="s">
        <v>800</v>
      </c>
      <c r="C760" t="s">
        <v>9</v>
      </c>
      <c r="D760" t="s">
        <v>14</v>
      </c>
      <c r="E760" t="s">
        <v>16</v>
      </c>
      <c r="F760" t="s">
        <v>21</v>
      </c>
      <c r="G760">
        <v>32</v>
      </c>
      <c r="H760" s="13">
        <v>106268</v>
      </c>
      <c r="I760" s="13">
        <v>6973</v>
      </c>
      <c r="J760" t="s">
        <v>25</v>
      </c>
      <c r="K760" s="13">
        <f>HR_Data[[#This Row],[Salary]]+HR_Data[[#This Row],[Bonus]]</f>
        <v>113241</v>
      </c>
    </row>
    <row r="761" spans="1:11" x14ac:dyDescent="0.25">
      <c r="A761">
        <v>1760</v>
      </c>
      <c r="B761" t="s">
        <v>801</v>
      </c>
      <c r="C761" t="s">
        <v>2042</v>
      </c>
      <c r="D761" t="s">
        <v>15</v>
      </c>
      <c r="E761" t="s">
        <v>19</v>
      </c>
      <c r="F761" t="s">
        <v>21</v>
      </c>
      <c r="G761">
        <v>48</v>
      </c>
      <c r="H761" s="13">
        <v>106310</v>
      </c>
      <c r="I761" s="13">
        <v>19346</v>
      </c>
      <c r="J761" t="s">
        <v>26</v>
      </c>
      <c r="K761" s="13">
        <f>HR_Data[[#This Row],[Salary]]+HR_Data[[#This Row],[Bonus]]</f>
        <v>125656</v>
      </c>
    </row>
    <row r="762" spans="1:11" x14ac:dyDescent="0.25">
      <c r="A762">
        <v>1761</v>
      </c>
      <c r="B762" t="s">
        <v>802</v>
      </c>
      <c r="C762" t="s">
        <v>11</v>
      </c>
      <c r="D762" t="s">
        <v>15</v>
      </c>
      <c r="E762" t="s">
        <v>17</v>
      </c>
      <c r="F762" t="s">
        <v>22</v>
      </c>
      <c r="G762">
        <v>54</v>
      </c>
      <c r="H762" s="13">
        <v>108731</v>
      </c>
      <c r="I762" s="13">
        <v>10044</v>
      </c>
      <c r="J762" t="s">
        <v>25</v>
      </c>
      <c r="K762" s="13">
        <f>HR_Data[[#This Row],[Salary]]+HR_Data[[#This Row],[Bonus]]</f>
        <v>118775</v>
      </c>
    </row>
    <row r="763" spans="1:11" x14ac:dyDescent="0.25">
      <c r="A763">
        <v>1762</v>
      </c>
      <c r="B763" t="s">
        <v>803</v>
      </c>
      <c r="C763" t="s">
        <v>10</v>
      </c>
      <c r="D763" t="s">
        <v>15</v>
      </c>
      <c r="E763" t="s">
        <v>16</v>
      </c>
      <c r="F763" t="s">
        <v>24</v>
      </c>
      <c r="G763">
        <v>42</v>
      </c>
      <c r="H763" s="13">
        <v>57412</v>
      </c>
      <c r="I763" s="13">
        <v>15247</v>
      </c>
      <c r="J763" t="s">
        <v>25</v>
      </c>
      <c r="K763" s="13">
        <f>HR_Data[[#This Row],[Salary]]+HR_Data[[#This Row],[Bonus]]</f>
        <v>72659</v>
      </c>
    </row>
    <row r="764" spans="1:11" x14ac:dyDescent="0.25">
      <c r="A764">
        <v>1763</v>
      </c>
      <c r="B764" t="s">
        <v>804</v>
      </c>
      <c r="C764" t="s">
        <v>9</v>
      </c>
      <c r="D764" t="s">
        <v>14</v>
      </c>
      <c r="E764" t="s">
        <v>18</v>
      </c>
      <c r="F764" t="s">
        <v>24</v>
      </c>
      <c r="G764">
        <v>52</v>
      </c>
      <c r="H764" s="13">
        <v>67734</v>
      </c>
      <c r="I764" s="13">
        <v>16672</v>
      </c>
      <c r="J764" t="s">
        <v>25</v>
      </c>
      <c r="K764" s="13">
        <f>HR_Data[[#This Row],[Salary]]+HR_Data[[#This Row],[Bonus]]</f>
        <v>84406</v>
      </c>
    </row>
    <row r="765" spans="1:11" x14ac:dyDescent="0.25">
      <c r="A765">
        <v>1764</v>
      </c>
      <c r="B765" t="s">
        <v>805</v>
      </c>
      <c r="C765" t="s">
        <v>2042</v>
      </c>
      <c r="D765" t="s">
        <v>15</v>
      </c>
      <c r="E765" t="s">
        <v>17</v>
      </c>
      <c r="F765" t="s">
        <v>22</v>
      </c>
      <c r="G765">
        <v>59</v>
      </c>
      <c r="H765" s="13">
        <v>107793</v>
      </c>
      <c r="I765" s="13">
        <v>15271</v>
      </c>
      <c r="J765" t="s">
        <v>25</v>
      </c>
      <c r="K765" s="13">
        <f>HR_Data[[#This Row],[Salary]]+HR_Data[[#This Row],[Bonus]]</f>
        <v>123064</v>
      </c>
    </row>
    <row r="766" spans="1:11" x14ac:dyDescent="0.25">
      <c r="A766">
        <v>1765</v>
      </c>
      <c r="B766" t="s">
        <v>806</v>
      </c>
      <c r="C766" t="s">
        <v>12</v>
      </c>
      <c r="D766" t="s">
        <v>14</v>
      </c>
      <c r="E766" t="s">
        <v>17</v>
      </c>
      <c r="F766" t="s">
        <v>24</v>
      </c>
      <c r="G766">
        <v>23</v>
      </c>
      <c r="H766" s="13">
        <v>89930</v>
      </c>
      <c r="I766" s="13">
        <v>27487</v>
      </c>
      <c r="J766" t="s">
        <v>25</v>
      </c>
      <c r="K766" s="13">
        <f>HR_Data[[#This Row],[Salary]]+HR_Data[[#This Row],[Bonus]]</f>
        <v>117417</v>
      </c>
    </row>
    <row r="767" spans="1:11" x14ac:dyDescent="0.25">
      <c r="A767">
        <v>1766</v>
      </c>
      <c r="B767" t="s">
        <v>807</v>
      </c>
      <c r="C767" t="s">
        <v>10</v>
      </c>
      <c r="D767" t="s">
        <v>15</v>
      </c>
      <c r="E767" t="s">
        <v>19</v>
      </c>
      <c r="F767" t="s">
        <v>21</v>
      </c>
      <c r="G767">
        <v>48</v>
      </c>
      <c r="H767" s="13">
        <v>69554.53</v>
      </c>
      <c r="I767" s="13">
        <v>11683</v>
      </c>
      <c r="J767" t="s">
        <v>25</v>
      </c>
      <c r="K767" s="13">
        <f>HR_Data[[#This Row],[Salary]]+HR_Data[[#This Row],[Bonus]]</f>
        <v>81237.53</v>
      </c>
    </row>
    <row r="768" spans="1:11" x14ac:dyDescent="0.25">
      <c r="A768">
        <v>1767</v>
      </c>
      <c r="B768" t="s">
        <v>808</v>
      </c>
      <c r="C768" t="s">
        <v>10</v>
      </c>
      <c r="D768" t="s">
        <v>15</v>
      </c>
      <c r="E768" t="s">
        <v>20</v>
      </c>
      <c r="F768" t="s">
        <v>24</v>
      </c>
      <c r="G768">
        <v>57</v>
      </c>
      <c r="H768" s="13">
        <v>97924</v>
      </c>
      <c r="I768" s="13">
        <v>27221</v>
      </c>
      <c r="J768" t="s">
        <v>25</v>
      </c>
      <c r="K768" s="13">
        <f>HR_Data[[#This Row],[Salary]]+HR_Data[[#This Row],[Bonus]]</f>
        <v>125145</v>
      </c>
    </row>
    <row r="769" spans="1:11" x14ac:dyDescent="0.25">
      <c r="A769">
        <v>1768</v>
      </c>
      <c r="B769" t="s">
        <v>809</v>
      </c>
      <c r="C769" t="s">
        <v>11</v>
      </c>
      <c r="D769" t="s">
        <v>14</v>
      </c>
      <c r="E769" t="s">
        <v>20</v>
      </c>
      <c r="F769" t="s">
        <v>24</v>
      </c>
      <c r="G769">
        <v>32</v>
      </c>
      <c r="H769" s="13">
        <v>31319</v>
      </c>
      <c r="I769" s="13">
        <v>16244</v>
      </c>
      <c r="J769" t="s">
        <v>25</v>
      </c>
      <c r="K769" s="13">
        <f>HR_Data[[#This Row],[Salary]]+HR_Data[[#This Row],[Bonus]]</f>
        <v>47563</v>
      </c>
    </row>
    <row r="770" spans="1:11" x14ac:dyDescent="0.25">
      <c r="A770">
        <v>1769</v>
      </c>
      <c r="B770" t="s">
        <v>810</v>
      </c>
      <c r="C770" t="s">
        <v>10</v>
      </c>
      <c r="D770" t="s">
        <v>14</v>
      </c>
      <c r="E770" t="s">
        <v>19</v>
      </c>
      <c r="F770" t="s">
        <v>23</v>
      </c>
      <c r="G770">
        <v>39</v>
      </c>
      <c r="H770" s="13">
        <v>26475</v>
      </c>
      <c r="I770" s="13">
        <v>11783</v>
      </c>
      <c r="J770" t="s">
        <v>25</v>
      </c>
      <c r="K770" s="13">
        <f>HR_Data[[#This Row],[Salary]]+HR_Data[[#This Row],[Bonus]]</f>
        <v>38258</v>
      </c>
    </row>
    <row r="771" spans="1:11" x14ac:dyDescent="0.25">
      <c r="A771">
        <v>1770</v>
      </c>
      <c r="B771" t="s">
        <v>811</v>
      </c>
      <c r="C771" t="s">
        <v>9</v>
      </c>
      <c r="D771" t="s">
        <v>15</v>
      </c>
      <c r="E771" t="s">
        <v>19</v>
      </c>
      <c r="F771" t="s">
        <v>23</v>
      </c>
      <c r="G771">
        <v>22</v>
      </c>
      <c r="H771" s="13">
        <v>117091</v>
      </c>
      <c r="I771" s="13">
        <v>10594</v>
      </c>
      <c r="J771" t="s">
        <v>26</v>
      </c>
      <c r="K771" s="13">
        <f>HR_Data[[#This Row],[Salary]]+HR_Data[[#This Row],[Bonus]]</f>
        <v>127685</v>
      </c>
    </row>
    <row r="772" spans="1:11" x14ac:dyDescent="0.25">
      <c r="A772">
        <v>1771</v>
      </c>
      <c r="B772" t="s">
        <v>812</v>
      </c>
      <c r="C772" t="s">
        <v>2042</v>
      </c>
      <c r="D772" t="s">
        <v>15</v>
      </c>
      <c r="E772" t="s">
        <v>19</v>
      </c>
      <c r="F772" t="s">
        <v>23</v>
      </c>
      <c r="G772">
        <v>56</v>
      </c>
      <c r="H772" s="13">
        <v>103694</v>
      </c>
      <c r="I772" s="13">
        <v>8822</v>
      </c>
      <c r="J772" t="s">
        <v>26</v>
      </c>
      <c r="K772" s="13">
        <f>HR_Data[[#This Row],[Salary]]+HR_Data[[#This Row],[Bonus]]</f>
        <v>112516</v>
      </c>
    </row>
    <row r="773" spans="1:11" x14ac:dyDescent="0.25">
      <c r="A773">
        <v>1772</v>
      </c>
      <c r="B773" t="s">
        <v>813</v>
      </c>
      <c r="C773" t="s">
        <v>2042</v>
      </c>
      <c r="D773" t="s">
        <v>15</v>
      </c>
      <c r="E773" t="s">
        <v>20</v>
      </c>
      <c r="F773" t="s">
        <v>24</v>
      </c>
      <c r="G773">
        <v>56</v>
      </c>
      <c r="H773" s="13">
        <v>34728</v>
      </c>
      <c r="I773" s="13">
        <v>8389</v>
      </c>
      <c r="J773" t="s">
        <v>25</v>
      </c>
      <c r="K773" s="13">
        <f>HR_Data[[#This Row],[Salary]]+HR_Data[[#This Row],[Bonus]]</f>
        <v>43117</v>
      </c>
    </row>
    <row r="774" spans="1:11" x14ac:dyDescent="0.25">
      <c r="A774">
        <v>1773</v>
      </c>
      <c r="B774" t="s">
        <v>814</v>
      </c>
      <c r="C774" t="s">
        <v>12</v>
      </c>
      <c r="D774" t="s">
        <v>14</v>
      </c>
      <c r="E774" t="s">
        <v>19</v>
      </c>
      <c r="F774" t="s">
        <v>22</v>
      </c>
      <c r="G774">
        <v>52</v>
      </c>
      <c r="H774" s="13">
        <v>49545</v>
      </c>
      <c r="I774" s="13">
        <v>10914</v>
      </c>
      <c r="J774" t="s">
        <v>25</v>
      </c>
      <c r="K774" s="13">
        <f>HR_Data[[#This Row],[Salary]]+HR_Data[[#This Row],[Bonus]]</f>
        <v>60459</v>
      </c>
    </row>
    <row r="775" spans="1:11" x14ac:dyDescent="0.25">
      <c r="A775">
        <v>1774</v>
      </c>
      <c r="B775" t="s">
        <v>815</v>
      </c>
      <c r="C775" t="s">
        <v>11</v>
      </c>
      <c r="D775" t="s">
        <v>14</v>
      </c>
      <c r="E775" t="s">
        <v>16</v>
      </c>
      <c r="F775" t="s">
        <v>21</v>
      </c>
      <c r="G775">
        <v>49</v>
      </c>
      <c r="H775" s="13">
        <v>116636</v>
      </c>
      <c r="I775" s="13">
        <v>23164</v>
      </c>
      <c r="J775" t="s">
        <v>25</v>
      </c>
      <c r="K775" s="13">
        <f>HR_Data[[#This Row],[Salary]]+HR_Data[[#This Row],[Bonus]]</f>
        <v>139800</v>
      </c>
    </row>
    <row r="776" spans="1:11" x14ac:dyDescent="0.25">
      <c r="A776">
        <v>1775</v>
      </c>
      <c r="B776" t="s">
        <v>816</v>
      </c>
      <c r="C776" t="s">
        <v>12</v>
      </c>
      <c r="D776" t="s">
        <v>14</v>
      </c>
      <c r="E776" t="s">
        <v>17</v>
      </c>
      <c r="F776" t="s">
        <v>24</v>
      </c>
      <c r="G776">
        <v>22</v>
      </c>
      <c r="H776" s="13">
        <v>101686</v>
      </c>
      <c r="I776" s="13">
        <v>8688</v>
      </c>
      <c r="J776" t="s">
        <v>25</v>
      </c>
      <c r="K776" s="13">
        <f>HR_Data[[#This Row],[Salary]]+HR_Data[[#This Row],[Bonus]]</f>
        <v>110374</v>
      </c>
    </row>
    <row r="777" spans="1:11" x14ac:dyDescent="0.25">
      <c r="A777">
        <v>1776</v>
      </c>
      <c r="B777" t="s">
        <v>817</v>
      </c>
      <c r="C777" t="s">
        <v>10</v>
      </c>
      <c r="D777" t="s">
        <v>14</v>
      </c>
      <c r="E777" t="s">
        <v>17</v>
      </c>
      <c r="F777" t="s">
        <v>22</v>
      </c>
      <c r="G777">
        <v>46</v>
      </c>
      <c r="H777" s="13">
        <v>118750</v>
      </c>
      <c r="I777" s="13">
        <v>19683</v>
      </c>
      <c r="J777" t="s">
        <v>25</v>
      </c>
      <c r="K777" s="13">
        <f>HR_Data[[#This Row],[Salary]]+HR_Data[[#This Row],[Bonus]]</f>
        <v>138433</v>
      </c>
    </row>
    <row r="778" spans="1:11" x14ac:dyDescent="0.25">
      <c r="A778">
        <v>1777</v>
      </c>
      <c r="B778" t="s">
        <v>818</v>
      </c>
      <c r="C778" t="s">
        <v>12</v>
      </c>
      <c r="D778" t="s">
        <v>14</v>
      </c>
      <c r="E778" t="s">
        <v>18</v>
      </c>
      <c r="F778" t="s">
        <v>24</v>
      </c>
      <c r="G778">
        <v>59</v>
      </c>
      <c r="H778" s="13">
        <v>118412</v>
      </c>
      <c r="I778" s="13">
        <v>18080</v>
      </c>
      <c r="J778" t="s">
        <v>25</v>
      </c>
      <c r="K778" s="13">
        <f>HR_Data[[#This Row],[Salary]]+HR_Data[[#This Row],[Bonus]]</f>
        <v>136492</v>
      </c>
    </row>
    <row r="779" spans="1:11" x14ac:dyDescent="0.25">
      <c r="A779">
        <v>1778</v>
      </c>
      <c r="B779" t="s">
        <v>819</v>
      </c>
      <c r="C779" t="s">
        <v>9</v>
      </c>
      <c r="D779" t="s">
        <v>14</v>
      </c>
      <c r="E779" t="s">
        <v>18</v>
      </c>
      <c r="F779" t="s">
        <v>21</v>
      </c>
      <c r="G779">
        <v>41</v>
      </c>
      <c r="H779" s="13">
        <v>81756</v>
      </c>
      <c r="I779" s="13">
        <v>14916</v>
      </c>
      <c r="J779" t="s">
        <v>25</v>
      </c>
      <c r="K779" s="13">
        <f>HR_Data[[#This Row],[Salary]]+HR_Data[[#This Row],[Bonus]]</f>
        <v>96672</v>
      </c>
    </row>
    <row r="780" spans="1:11" x14ac:dyDescent="0.25">
      <c r="A780">
        <v>1779</v>
      </c>
      <c r="B780" t="s">
        <v>820</v>
      </c>
      <c r="C780" t="s">
        <v>27</v>
      </c>
      <c r="D780" t="s">
        <v>15</v>
      </c>
      <c r="E780" t="s">
        <v>17</v>
      </c>
      <c r="F780" t="s">
        <v>24</v>
      </c>
      <c r="G780">
        <v>24</v>
      </c>
      <c r="H780" s="13">
        <v>88775</v>
      </c>
      <c r="I780" s="13">
        <v>28595</v>
      </c>
      <c r="J780" t="s">
        <v>25</v>
      </c>
      <c r="K780" s="13">
        <f>HR_Data[[#This Row],[Salary]]+HR_Data[[#This Row],[Bonus]]</f>
        <v>117370</v>
      </c>
    </row>
    <row r="781" spans="1:11" x14ac:dyDescent="0.25">
      <c r="A781">
        <v>1780</v>
      </c>
      <c r="B781" t="s">
        <v>821</v>
      </c>
      <c r="C781" t="s">
        <v>10</v>
      </c>
      <c r="D781" t="s">
        <v>15</v>
      </c>
      <c r="E781" t="s">
        <v>16</v>
      </c>
      <c r="F781" t="s">
        <v>21</v>
      </c>
      <c r="G781">
        <v>23</v>
      </c>
      <c r="H781" s="13">
        <v>58699</v>
      </c>
      <c r="I781" s="13">
        <v>10037</v>
      </c>
      <c r="J781" t="s">
        <v>25</v>
      </c>
      <c r="K781" s="13">
        <f>HR_Data[[#This Row],[Salary]]+HR_Data[[#This Row],[Bonus]]</f>
        <v>68736</v>
      </c>
    </row>
    <row r="782" spans="1:11" x14ac:dyDescent="0.25">
      <c r="A782">
        <v>1781</v>
      </c>
      <c r="B782" t="s">
        <v>822</v>
      </c>
      <c r="C782" t="s">
        <v>12</v>
      </c>
      <c r="D782" t="s">
        <v>14</v>
      </c>
      <c r="E782" t="s">
        <v>20</v>
      </c>
      <c r="F782" t="s">
        <v>24</v>
      </c>
      <c r="G782">
        <v>39</v>
      </c>
      <c r="H782" s="13">
        <v>56821</v>
      </c>
      <c r="I782" s="13">
        <v>18453</v>
      </c>
      <c r="J782" t="s">
        <v>25</v>
      </c>
      <c r="K782" s="13">
        <f>HR_Data[[#This Row],[Salary]]+HR_Data[[#This Row],[Bonus]]</f>
        <v>75274</v>
      </c>
    </row>
    <row r="783" spans="1:11" x14ac:dyDescent="0.25">
      <c r="A783">
        <v>1782</v>
      </c>
      <c r="B783" t="s">
        <v>823</v>
      </c>
      <c r="C783" t="s">
        <v>11</v>
      </c>
      <c r="D783" t="s">
        <v>15</v>
      </c>
      <c r="E783" t="s">
        <v>20</v>
      </c>
      <c r="F783" t="s">
        <v>21</v>
      </c>
      <c r="G783">
        <v>31</v>
      </c>
      <c r="H783" s="13">
        <v>50615</v>
      </c>
      <c r="I783" s="13">
        <v>27703</v>
      </c>
      <c r="J783" t="s">
        <v>25</v>
      </c>
      <c r="K783" s="13">
        <f>HR_Data[[#This Row],[Salary]]+HR_Data[[#This Row],[Bonus]]</f>
        <v>78318</v>
      </c>
    </row>
    <row r="784" spans="1:11" x14ac:dyDescent="0.25">
      <c r="A784">
        <v>1783</v>
      </c>
      <c r="B784" t="s">
        <v>824</v>
      </c>
      <c r="C784" t="s">
        <v>9</v>
      </c>
      <c r="D784" t="s">
        <v>15</v>
      </c>
      <c r="E784" t="s">
        <v>16</v>
      </c>
      <c r="F784" t="s">
        <v>24</v>
      </c>
      <c r="G784">
        <v>26</v>
      </c>
      <c r="H784" s="13">
        <v>33746</v>
      </c>
      <c r="I784" s="13">
        <v>13640</v>
      </c>
      <c r="J784" t="s">
        <v>25</v>
      </c>
      <c r="K784" s="13">
        <f>HR_Data[[#This Row],[Salary]]+HR_Data[[#This Row],[Bonus]]</f>
        <v>47386</v>
      </c>
    </row>
    <row r="785" spans="1:11" x14ac:dyDescent="0.25">
      <c r="A785">
        <v>1784</v>
      </c>
      <c r="B785" t="s">
        <v>825</v>
      </c>
      <c r="C785" t="s">
        <v>9</v>
      </c>
      <c r="D785" t="s">
        <v>14</v>
      </c>
      <c r="E785" t="s">
        <v>20</v>
      </c>
      <c r="F785" t="s">
        <v>21</v>
      </c>
      <c r="G785">
        <v>30</v>
      </c>
      <c r="H785" s="13">
        <v>106457</v>
      </c>
      <c r="I785" s="13">
        <v>5081</v>
      </c>
      <c r="J785" t="s">
        <v>25</v>
      </c>
      <c r="K785" s="13">
        <f>HR_Data[[#This Row],[Salary]]+HR_Data[[#This Row],[Bonus]]</f>
        <v>111538</v>
      </c>
    </row>
    <row r="786" spans="1:11" x14ac:dyDescent="0.25">
      <c r="A786">
        <v>1785</v>
      </c>
      <c r="B786" t="s">
        <v>826</v>
      </c>
      <c r="C786" t="s">
        <v>12</v>
      </c>
      <c r="D786" t="s">
        <v>15</v>
      </c>
      <c r="E786" t="s">
        <v>19</v>
      </c>
      <c r="F786" t="s">
        <v>23</v>
      </c>
      <c r="G786">
        <v>23</v>
      </c>
      <c r="H786" s="13">
        <v>42745</v>
      </c>
      <c r="I786" s="13">
        <v>11278</v>
      </c>
      <c r="J786" t="s">
        <v>25</v>
      </c>
      <c r="K786" s="13">
        <f>HR_Data[[#This Row],[Salary]]+HR_Data[[#This Row],[Bonus]]</f>
        <v>54023</v>
      </c>
    </row>
    <row r="787" spans="1:11" x14ac:dyDescent="0.25">
      <c r="A787">
        <v>1786</v>
      </c>
      <c r="B787" t="s">
        <v>827</v>
      </c>
      <c r="C787" t="s">
        <v>2042</v>
      </c>
      <c r="D787" t="s">
        <v>14</v>
      </c>
      <c r="E787" t="s">
        <v>17</v>
      </c>
      <c r="F787" t="s">
        <v>24</v>
      </c>
      <c r="G787">
        <v>55</v>
      </c>
      <c r="H787" s="13">
        <v>21245</v>
      </c>
      <c r="I787" s="13">
        <v>21078</v>
      </c>
      <c r="J787" t="s">
        <v>25</v>
      </c>
      <c r="K787" s="13">
        <f>HR_Data[[#This Row],[Salary]]+HR_Data[[#This Row],[Bonus]]</f>
        <v>42323</v>
      </c>
    </row>
    <row r="788" spans="1:11" x14ac:dyDescent="0.25">
      <c r="A788">
        <v>1787</v>
      </c>
      <c r="B788" t="s">
        <v>828</v>
      </c>
      <c r="C788" t="s">
        <v>12</v>
      </c>
      <c r="D788" t="s">
        <v>14</v>
      </c>
      <c r="E788" t="s">
        <v>17</v>
      </c>
      <c r="F788" t="s">
        <v>24</v>
      </c>
      <c r="G788">
        <v>59</v>
      </c>
      <c r="H788" s="13">
        <v>44853</v>
      </c>
      <c r="I788" s="13">
        <v>28383</v>
      </c>
      <c r="J788" t="s">
        <v>25</v>
      </c>
      <c r="K788" s="13">
        <f>HR_Data[[#This Row],[Salary]]+HR_Data[[#This Row],[Bonus]]</f>
        <v>73236</v>
      </c>
    </row>
    <row r="789" spans="1:11" x14ac:dyDescent="0.25">
      <c r="A789">
        <v>1788</v>
      </c>
      <c r="B789" t="s">
        <v>829</v>
      </c>
      <c r="C789" t="s">
        <v>10</v>
      </c>
      <c r="D789" t="s">
        <v>15</v>
      </c>
      <c r="E789" t="s">
        <v>16</v>
      </c>
      <c r="F789" t="s">
        <v>22</v>
      </c>
      <c r="G789">
        <v>52</v>
      </c>
      <c r="H789" s="13">
        <v>47632</v>
      </c>
      <c r="I789" s="13">
        <v>20536</v>
      </c>
      <c r="J789" t="s">
        <v>26</v>
      </c>
      <c r="K789" s="13">
        <f>HR_Data[[#This Row],[Salary]]+HR_Data[[#This Row],[Bonus]]</f>
        <v>68168</v>
      </c>
    </row>
    <row r="790" spans="1:11" x14ac:dyDescent="0.25">
      <c r="A790">
        <v>1789</v>
      </c>
      <c r="B790" t="s">
        <v>830</v>
      </c>
      <c r="C790" t="s">
        <v>12</v>
      </c>
      <c r="D790" t="s">
        <v>14</v>
      </c>
      <c r="E790" t="s">
        <v>20</v>
      </c>
      <c r="F790" t="s">
        <v>22</v>
      </c>
      <c r="G790">
        <v>31</v>
      </c>
      <c r="H790" s="13">
        <v>32856</v>
      </c>
      <c r="I790" s="13">
        <v>22790</v>
      </c>
      <c r="J790" t="s">
        <v>25</v>
      </c>
      <c r="K790" s="13">
        <f>HR_Data[[#This Row],[Salary]]+HR_Data[[#This Row],[Bonus]]</f>
        <v>55646</v>
      </c>
    </row>
    <row r="791" spans="1:11" x14ac:dyDescent="0.25">
      <c r="A791">
        <v>1790</v>
      </c>
      <c r="B791" t="s">
        <v>831</v>
      </c>
      <c r="C791" t="s">
        <v>9</v>
      </c>
      <c r="D791" t="s">
        <v>14</v>
      </c>
      <c r="E791" t="s">
        <v>18</v>
      </c>
      <c r="F791" t="s">
        <v>21</v>
      </c>
      <c r="G791">
        <v>33</v>
      </c>
      <c r="H791" s="13">
        <v>76893</v>
      </c>
      <c r="I791" s="13">
        <v>12410</v>
      </c>
      <c r="J791" t="s">
        <v>25</v>
      </c>
      <c r="K791" s="13">
        <f>HR_Data[[#This Row],[Salary]]+HR_Data[[#This Row],[Bonus]]</f>
        <v>89303</v>
      </c>
    </row>
    <row r="792" spans="1:11" x14ac:dyDescent="0.25">
      <c r="A792">
        <v>1791</v>
      </c>
      <c r="B792" t="s">
        <v>832</v>
      </c>
      <c r="C792" t="s">
        <v>12</v>
      </c>
      <c r="D792" t="s">
        <v>14</v>
      </c>
      <c r="E792" t="s">
        <v>18</v>
      </c>
      <c r="F792" t="s">
        <v>24</v>
      </c>
      <c r="G792">
        <v>57</v>
      </c>
      <c r="H792" s="13">
        <v>90641</v>
      </c>
      <c r="I792" s="13">
        <v>20926</v>
      </c>
      <c r="J792" t="s">
        <v>25</v>
      </c>
      <c r="K792" s="13">
        <f>HR_Data[[#This Row],[Salary]]+HR_Data[[#This Row],[Bonus]]</f>
        <v>111567</v>
      </c>
    </row>
    <row r="793" spans="1:11" x14ac:dyDescent="0.25">
      <c r="A793">
        <v>1792</v>
      </c>
      <c r="B793" t="s">
        <v>833</v>
      </c>
      <c r="C793" t="s">
        <v>2042</v>
      </c>
      <c r="D793" t="s">
        <v>14</v>
      </c>
      <c r="E793" t="s">
        <v>20</v>
      </c>
      <c r="F793" t="s">
        <v>21</v>
      </c>
      <c r="G793">
        <v>42</v>
      </c>
      <c r="H793" s="13">
        <v>88049</v>
      </c>
      <c r="I793" s="13">
        <v>20500</v>
      </c>
      <c r="J793" t="s">
        <v>26</v>
      </c>
      <c r="K793" s="13">
        <f>HR_Data[[#This Row],[Salary]]+HR_Data[[#This Row],[Bonus]]</f>
        <v>108549</v>
      </c>
    </row>
    <row r="794" spans="1:11" x14ac:dyDescent="0.25">
      <c r="A794">
        <v>1793</v>
      </c>
      <c r="B794" t="s">
        <v>834</v>
      </c>
      <c r="C794" t="s">
        <v>11</v>
      </c>
      <c r="D794" t="s">
        <v>14</v>
      </c>
      <c r="E794" t="s">
        <v>18</v>
      </c>
      <c r="F794" t="s">
        <v>23</v>
      </c>
      <c r="G794">
        <v>27</v>
      </c>
      <c r="H794" s="13">
        <v>78182</v>
      </c>
      <c r="I794" s="13">
        <v>6480</v>
      </c>
      <c r="J794" t="s">
        <v>25</v>
      </c>
      <c r="K794" s="13">
        <f>HR_Data[[#This Row],[Salary]]+HR_Data[[#This Row],[Bonus]]</f>
        <v>84662</v>
      </c>
    </row>
    <row r="795" spans="1:11" x14ac:dyDescent="0.25">
      <c r="A795">
        <v>1794</v>
      </c>
      <c r="B795" t="s">
        <v>835</v>
      </c>
      <c r="C795" t="s">
        <v>8</v>
      </c>
      <c r="D795" t="s">
        <v>14</v>
      </c>
      <c r="E795" t="s">
        <v>16</v>
      </c>
      <c r="F795" t="s">
        <v>22</v>
      </c>
      <c r="G795">
        <v>24</v>
      </c>
      <c r="H795" s="13">
        <v>22801</v>
      </c>
      <c r="I795" s="13">
        <v>14271</v>
      </c>
      <c r="J795" t="s">
        <v>26</v>
      </c>
      <c r="K795" s="13">
        <f>HR_Data[[#This Row],[Salary]]+HR_Data[[#This Row],[Bonus]]</f>
        <v>37072</v>
      </c>
    </row>
    <row r="796" spans="1:11" x14ac:dyDescent="0.25">
      <c r="A796">
        <v>1795</v>
      </c>
      <c r="B796" t="s">
        <v>836</v>
      </c>
      <c r="C796" t="s">
        <v>12</v>
      </c>
      <c r="D796" t="s">
        <v>14</v>
      </c>
      <c r="E796" t="s">
        <v>16</v>
      </c>
      <c r="F796" t="s">
        <v>21</v>
      </c>
      <c r="G796">
        <v>31</v>
      </c>
      <c r="H796" s="13">
        <v>117881</v>
      </c>
      <c r="I796" s="13">
        <v>8598</v>
      </c>
      <c r="J796" t="s">
        <v>25</v>
      </c>
      <c r="K796" s="13">
        <f>HR_Data[[#This Row],[Salary]]+HR_Data[[#This Row],[Bonus]]</f>
        <v>126479</v>
      </c>
    </row>
    <row r="797" spans="1:11" x14ac:dyDescent="0.25">
      <c r="A797">
        <v>1796</v>
      </c>
      <c r="B797" t="s">
        <v>837</v>
      </c>
      <c r="C797" t="s">
        <v>2042</v>
      </c>
      <c r="D797" t="s">
        <v>14</v>
      </c>
      <c r="E797" t="s">
        <v>20</v>
      </c>
      <c r="F797" t="s">
        <v>21</v>
      </c>
      <c r="G797">
        <v>26</v>
      </c>
      <c r="H797" s="13">
        <v>99431</v>
      </c>
      <c r="I797" s="13">
        <v>20032</v>
      </c>
      <c r="J797" t="s">
        <v>25</v>
      </c>
      <c r="K797" s="13">
        <f>HR_Data[[#This Row],[Salary]]+HR_Data[[#This Row],[Bonus]]</f>
        <v>119463</v>
      </c>
    </row>
    <row r="798" spans="1:11" x14ac:dyDescent="0.25">
      <c r="A798">
        <v>1797</v>
      </c>
      <c r="B798" t="s">
        <v>838</v>
      </c>
      <c r="C798" t="s">
        <v>2042</v>
      </c>
      <c r="D798" t="s">
        <v>15</v>
      </c>
      <c r="E798" t="s">
        <v>18</v>
      </c>
      <c r="F798" t="s">
        <v>22</v>
      </c>
      <c r="G798">
        <v>47</v>
      </c>
      <c r="H798" s="13">
        <v>59749</v>
      </c>
      <c r="I798" s="13">
        <v>12993</v>
      </c>
      <c r="J798" t="s">
        <v>25</v>
      </c>
      <c r="K798" s="13">
        <f>HR_Data[[#This Row],[Salary]]+HR_Data[[#This Row],[Bonus]]</f>
        <v>72742</v>
      </c>
    </row>
    <row r="799" spans="1:11" x14ac:dyDescent="0.25">
      <c r="A799">
        <v>1798</v>
      </c>
      <c r="B799" t="s">
        <v>839</v>
      </c>
      <c r="C799" t="s">
        <v>11</v>
      </c>
      <c r="D799" t="s">
        <v>15</v>
      </c>
      <c r="E799" t="s">
        <v>16</v>
      </c>
      <c r="F799" t="s">
        <v>24</v>
      </c>
      <c r="G799">
        <v>42</v>
      </c>
      <c r="H799" s="13">
        <v>93757</v>
      </c>
      <c r="I799" s="13">
        <v>25567</v>
      </c>
      <c r="J799" t="s">
        <v>25</v>
      </c>
      <c r="K799" s="13">
        <f>HR_Data[[#This Row],[Salary]]+HR_Data[[#This Row],[Bonus]]</f>
        <v>119324</v>
      </c>
    </row>
    <row r="800" spans="1:11" x14ac:dyDescent="0.25">
      <c r="A800">
        <v>1799</v>
      </c>
      <c r="B800" t="s">
        <v>840</v>
      </c>
      <c r="C800" t="s">
        <v>9</v>
      </c>
      <c r="D800" t="s">
        <v>15</v>
      </c>
      <c r="E800" t="s">
        <v>16</v>
      </c>
      <c r="F800" t="s">
        <v>21</v>
      </c>
      <c r="G800">
        <v>47</v>
      </c>
      <c r="H800" s="13">
        <v>75654</v>
      </c>
      <c r="I800" s="13">
        <v>25064</v>
      </c>
      <c r="J800" t="s">
        <v>25</v>
      </c>
      <c r="K800" s="13">
        <f>HR_Data[[#This Row],[Salary]]+HR_Data[[#This Row],[Bonus]]</f>
        <v>100718</v>
      </c>
    </row>
    <row r="801" spans="1:11" x14ac:dyDescent="0.25">
      <c r="A801">
        <v>1800</v>
      </c>
      <c r="B801" t="s">
        <v>841</v>
      </c>
      <c r="C801" t="s">
        <v>2042</v>
      </c>
      <c r="D801" t="s">
        <v>27</v>
      </c>
      <c r="E801" t="s">
        <v>19</v>
      </c>
      <c r="F801" t="s">
        <v>22</v>
      </c>
      <c r="G801">
        <v>59</v>
      </c>
      <c r="H801" s="13">
        <v>91574</v>
      </c>
      <c r="I801" s="13">
        <v>15895</v>
      </c>
      <c r="J801" t="s">
        <v>25</v>
      </c>
      <c r="K801" s="13">
        <f>HR_Data[[#This Row],[Salary]]+HR_Data[[#This Row],[Bonus]]</f>
        <v>107469</v>
      </c>
    </row>
    <row r="802" spans="1:11" x14ac:dyDescent="0.25">
      <c r="A802">
        <v>1801</v>
      </c>
      <c r="B802" t="s">
        <v>842</v>
      </c>
      <c r="C802" t="s">
        <v>2042</v>
      </c>
      <c r="D802" t="s">
        <v>14</v>
      </c>
      <c r="E802" t="s">
        <v>19</v>
      </c>
      <c r="F802" t="s">
        <v>24</v>
      </c>
      <c r="G802">
        <v>47</v>
      </c>
      <c r="H802" s="13">
        <v>117567</v>
      </c>
      <c r="I802" s="13">
        <v>20367</v>
      </c>
      <c r="J802" t="s">
        <v>26</v>
      </c>
      <c r="K802" s="13">
        <f>HR_Data[[#This Row],[Salary]]+HR_Data[[#This Row],[Bonus]]</f>
        <v>137934</v>
      </c>
    </row>
    <row r="803" spans="1:11" x14ac:dyDescent="0.25">
      <c r="A803">
        <v>1802</v>
      </c>
      <c r="B803" t="s">
        <v>843</v>
      </c>
      <c r="C803" t="s">
        <v>2042</v>
      </c>
      <c r="D803" t="s">
        <v>15</v>
      </c>
      <c r="E803" t="s">
        <v>16</v>
      </c>
      <c r="F803" t="s">
        <v>23</v>
      </c>
      <c r="G803">
        <v>29</v>
      </c>
      <c r="H803" s="13">
        <v>75381</v>
      </c>
      <c r="I803" s="13">
        <v>12644</v>
      </c>
      <c r="J803" t="s">
        <v>25</v>
      </c>
      <c r="K803" s="13">
        <f>HR_Data[[#This Row],[Salary]]+HR_Data[[#This Row],[Bonus]]</f>
        <v>88025</v>
      </c>
    </row>
    <row r="804" spans="1:11" x14ac:dyDescent="0.25">
      <c r="A804">
        <v>1803</v>
      </c>
      <c r="B804" t="s">
        <v>844</v>
      </c>
      <c r="C804" t="s">
        <v>2042</v>
      </c>
      <c r="D804" t="s">
        <v>15</v>
      </c>
      <c r="E804" t="s">
        <v>20</v>
      </c>
      <c r="F804" t="s">
        <v>22</v>
      </c>
      <c r="G804">
        <v>26</v>
      </c>
      <c r="H804" s="13">
        <v>78601</v>
      </c>
      <c r="I804" s="13">
        <v>25694</v>
      </c>
      <c r="J804" t="s">
        <v>26</v>
      </c>
      <c r="K804" s="13">
        <f>HR_Data[[#This Row],[Salary]]+HR_Data[[#This Row],[Bonus]]</f>
        <v>104295</v>
      </c>
    </row>
    <row r="805" spans="1:11" x14ac:dyDescent="0.25">
      <c r="A805">
        <v>1804</v>
      </c>
      <c r="B805" t="s">
        <v>845</v>
      </c>
      <c r="C805" t="s">
        <v>10</v>
      </c>
      <c r="D805" t="s">
        <v>15</v>
      </c>
      <c r="E805" t="s">
        <v>17</v>
      </c>
      <c r="F805" t="s">
        <v>21</v>
      </c>
      <c r="G805">
        <v>36</v>
      </c>
      <c r="H805" s="13">
        <v>35082</v>
      </c>
      <c r="I805" s="13">
        <v>16948</v>
      </c>
      <c r="J805" t="s">
        <v>25</v>
      </c>
      <c r="K805" s="13">
        <f>HR_Data[[#This Row],[Salary]]+HR_Data[[#This Row],[Bonus]]</f>
        <v>52030</v>
      </c>
    </row>
    <row r="806" spans="1:11" x14ac:dyDescent="0.25">
      <c r="A806">
        <v>1805</v>
      </c>
      <c r="B806" t="s">
        <v>846</v>
      </c>
      <c r="C806" t="s">
        <v>10</v>
      </c>
      <c r="D806" t="s">
        <v>14</v>
      </c>
      <c r="E806" t="s">
        <v>17</v>
      </c>
      <c r="F806" t="s">
        <v>23</v>
      </c>
      <c r="G806">
        <v>37</v>
      </c>
      <c r="H806" s="13">
        <v>34648</v>
      </c>
      <c r="I806" s="13">
        <v>23142</v>
      </c>
      <c r="J806" t="s">
        <v>25</v>
      </c>
      <c r="K806" s="13">
        <f>HR_Data[[#This Row],[Salary]]+HR_Data[[#This Row],[Bonus]]</f>
        <v>57790</v>
      </c>
    </row>
    <row r="807" spans="1:11" x14ac:dyDescent="0.25">
      <c r="A807">
        <v>1806</v>
      </c>
      <c r="B807" t="s">
        <v>847</v>
      </c>
      <c r="C807" t="s">
        <v>9</v>
      </c>
      <c r="D807" t="s">
        <v>15</v>
      </c>
      <c r="E807" t="s">
        <v>16</v>
      </c>
      <c r="F807" t="s">
        <v>24</v>
      </c>
      <c r="G807">
        <v>22</v>
      </c>
      <c r="H807" s="13">
        <v>20364</v>
      </c>
      <c r="I807" s="13">
        <v>7599</v>
      </c>
      <c r="J807" t="s">
        <v>25</v>
      </c>
      <c r="K807" s="13">
        <f>HR_Data[[#This Row],[Salary]]+HR_Data[[#This Row],[Bonus]]</f>
        <v>27963</v>
      </c>
    </row>
    <row r="808" spans="1:11" x14ac:dyDescent="0.25">
      <c r="A808">
        <v>1807</v>
      </c>
      <c r="B808" t="s">
        <v>848</v>
      </c>
      <c r="C808" t="s">
        <v>12</v>
      </c>
      <c r="D808" t="s">
        <v>15</v>
      </c>
      <c r="E808" t="s">
        <v>16</v>
      </c>
      <c r="F808" t="s">
        <v>24</v>
      </c>
      <c r="G808">
        <v>37</v>
      </c>
      <c r="H808" s="13">
        <v>54568</v>
      </c>
      <c r="I808" s="13">
        <v>27000</v>
      </c>
      <c r="J808" t="s">
        <v>25</v>
      </c>
      <c r="K808" s="13">
        <f>HR_Data[[#This Row],[Salary]]+HR_Data[[#This Row],[Bonus]]</f>
        <v>81568</v>
      </c>
    </row>
    <row r="809" spans="1:11" x14ac:dyDescent="0.25">
      <c r="A809">
        <v>1808</v>
      </c>
      <c r="B809" t="s">
        <v>849</v>
      </c>
      <c r="C809" t="s">
        <v>2042</v>
      </c>
      <c r="D809" t="s">
        <v>14</v>
      </c>
      <c r="E809" t="s">
        <v>16</v>
      </c>
      <c r="F809" t="s">
        <v>22</v>
      </c>
      <c r="G809">
        <v>58</v>
      </c>
      <c r="H809" s="13">
        <v>99646</v>
      </c>
      <c r="I809" s="13">
        <v>10813</v>
      </c>
      <c r="J809" t="s">
        <v>26</v>
      </c>
      <c r="K809" s="13">
        <f>HR_Data[[#This Row],[Salary]]+HR_Data[[#This Row],[Bonus]]</f>
        <v>110459</v>
      </c>
    </row>
    <row r="810" spans="1:11" x14ac:dyDescent="0.25">
      <c r="A810">
        <v>1809</v>
      </c>
      <c r="B810" t="s">
        <v>850</v>
      </c>
      <c r="C810" t="s">
        <v>11</v>
      </c>
      <c r="D810" t="s">
        <v>15</v>
      </c>
      <c r="E810" t="s">
        <v>20</v>
      </c>
      <c r="F810" t="s">
        <v>22</v>
      </c>
      <c r="G810">
        <v>24</v>
      </c>
      <c r="H810" s="13">
        <v>91494</v>
      </c>
      <c r="I810" s="13">
        <v>8853</v>
      </c>
      <c r="J810" t="s">
        <v>25</v>
      </c>
      <c r="K810" s="13">
        <f>HR_Data[[#This Row],[Salary]]+HR_Data[[#This Row],[Bonus]]</f>
        <v>100347</v>
      </c>
    </row>
    <row r="811" spans="1:11" x14ac:dyDescent="0.25">
      <c r="A811">
        <v>1810</v>
      </c>
      <c r="B811" t="s">
        <v>851</v>
      </c>
      <c r="C811" t="s">
        <v>12</v>
      </c>
      <c r="D811" t="s">
        <v>14</v>
      </c>
      <c r="E811" t="s">
        <v>19</v>
      </c>
      <c r="F811" t="s">
        <v>22</v>
      </c>
      <c r="G811">
        <v>52</v>
      </c>
      <c r="H811" s="13">
        <v>94632</v>
      </c>
      <c r="I811" s="13">
        <v>23676</v>
      </c>
      <c r="J811" t="s">
        <v>25</v>
      </c>
      <c r="K811" s="13">
        <f>HR_Data[[#This Row],[Salary]]+HR_Data[[#This Row],[Bonus]]</f>
        <v>118308</v>
      </c>
    </row>
    <row r="812" spans="1:11" x14ac:dyDescent="0.25">
      <c r="A812">
        <v>1811</v>
      </c>
      <c r="B812" t="s">
        <v>852</v>
      </c>
      <c r="C812" t="s">
        <v>11</v>
      </c>
      <c r="D812" t="s">
        <v>14</v>
      </c>
      <c r="E812" t="s">
        <v>16</v>
      </c>
      <c r="F812" t="s">
        <v>24</v>
      </c>
      <c r="G812">
        <v>34</v>
      </c>
      <c r="H812" s="13">
        <v>27436</v>
      </c>
      <c r="I812" s="13">
        <v>6501</v>
      </c>
      <c r="J812" t="s">
        <v>25</v>
      </c>
      <c r="K812" s="13">
        <f>HR_Data[[#This Row],[Salary]]+HR_Data[[#This Row],[Bonus]]</f>
        <v>33937</v>
      </c>
    </row>
    <row r="813" spans="1:11" x14ac:dyDescent="0.25">
      <c r="A813">
        <v>1812</v>
      </c>
      <c r="B813" t="s">
        <v>853</v>
      </c>
      <c r="C813" t="s">
        <v>12</v>
      </c>
      <c r="D813" t="s">
        <v>14</v>
      </c>
      <c r="E813" t="s">
        <v>16</v>
      </c>
      <c r="F813" t="s">
        <v>23</v>
      </c>
      <c r="G813">
        <v>37</v>
      </c>
      <c r="H813" s="13">
        <v>106713</v>
      </c>
      <c r="I813" s="13">
        <v>13422</v>
      </c>
      <c r="J813" t="s">
        <v>25</v>
      </c>
      <c r="K813" s="13">
        <f>HR_Data[[#This Row],[Salary]]+HR_Data[[#This Row],[Bonus]]</f>
        <v>120135</v>
      </c>
    </row>
    <row r="814" spans="1:11" x14ac:dyDescent="0.25">
      <c r="A814">
        <v>1813</v>
      </c>
      <c r="B814" t="s">
        <v>854</v>
      </c>
      <c r="C814" t="s">
        <v>9</v>
      </c>
      <c r="D814" t="s">
        <v>15</v>
      </c>
      <c r="E814" t="s">
        <v>18</v>
      </c>
      <c r="F814" t="s">
        <v>24</v>
      </c>
      <c r="G814">
        <v>42</v>
      </c>
      <c r="H814" s="13">
        <v>46754</v>
      </c>
      <c r="I814" s="13">
        <v>12550</v>
      </c>
      <c r="J814" t="s">
        <v>25</v>
      </c>
      <c r="K814" s="13">
        <f>HR_Data[[#This Row],[Salary]]+HR_Data[[#This Row],[Bonus]]</f>
        <v>59304</v>
      </c>
    </row>
    <row r="815" spans="1:11" x14ac:dyDescent="0.25">
      <c r="A815">
        <v>1814</v>
      </c>
      <c r="B815" t="s">
        <v>855</v>
      </c>
      <c r="C815" t="s">
        <v>2042</v>
      </c>
      <c r="D815" t="s">
        <v>15</v>
      </c>
      <c r="E815" t="s">
        <v>20</v>
      </c>
      <c r="F815" t="s">
        <v>21</v>
      </c>
      <c r="G815">
        <v>23</v>
      </c>
      <c r="H815" s="13">
        <v>80194</v>
      </c>
      <c r="I815" s="13">
        <v>9250</v>
      </c>
      <c r="J815" t="s">
        <v>27</v>
      </c>
      <c r="K815" s="13">
        <f>HR_Data[[#This Row],[Salary]]+HR_Data[[#This Row],[Bonus]]</f>
        <v>89444</v>
      </c>
    </row>
    <row r="816" spans="1:11" x14ac:dyDescent="0.25">
      <c r="A816">
        <v>1815</v>
      </c>
      <c r="B816" t="s">
        <v>856</v>
      </c>
      <c r="C816" t="s">
        <v>2042</v>
      </c>
      <c r="D816" t="s">
        <v>14</v>
      </c>
      <c r="E816" t="s">
        <v>16</v>
      </c>
      <c r="F816" t="s">
        <v>24</v>
      </c>
      <c r="G816">
        <v>48</v>
      </c>
      <c r="H816" s="13">
        <v>44544</v>
      </c>
      <c r="I816" s="13">
        <v>11991</v>
      </c>
      <c r="J816" t="s">
        <v>25</v>
      </c>
      <c r="K816" s="13">
        <f>HR_Data[[#This Row],[Salary]]+HR_Data[[#This Row],[Bonus]]</f>
        <v>56535</v>
      </c>
    </row>
    <row r="817" spans="1:11" x14ac:dyDescent="0.25">
      <c r="A817">
        <v>1816</v>
      </c>
      <c r="B817" t="s">
        <v>857</v>
      </c>
      <c r="C817" t="s">
        <v>8</v>
      </c>
      <c r="D817" t="s">
        <v>15</v>
      </c>
      <c r="E817" t="s">
        <v>18</v>
      </c>
      <c r="F817" t="s">
        <v>21</v>
      </c>
      <c r="G817">
        <v>59</v>
      </c>
      <c r="H817" s="13">
        <v>80180</v>
      </c>
      <c r="I817" s="13">
        <v>21498</v>
      </c>
      <c r="J817" t="s">
        <v>25</v>
      </c>
      <c r="K817" s="13">
        <f>HR_Data[[#This Row],[Salary]]+HR_Data[[#This Row],[Bonus]]</f>
        <v>101678</v>
      </c>
    </row>
    <row r="818" spans="1:11" x14ac:dyDescent="0.25">
      <c r="A818">
        <v>1817</v>
      </c>
      <c r="B818" t="s">
        <v>858</v>
      </c>
      <c r="C818" t="s">
        <v>27</v>
      </c>
      <c r="D818" t="s">
        <v>15</v>
      </c>
      <c r="E818" t="s">
        <v>17</v>
      </c>
      <c r="F818" t="s">
        <v>23</v>
      </c>
      <c r="G818">
        <v>47</v>
      </c>
      <c r="H818" s="13">
        <v>83295</v>
      </c>
      <c r="I818" s="13">
        <v>9406</v>
      </c>
      <c r="J818" t="s">
        <v>27</v>
      </c>
      <c r="K818" s="13">
        <f>HR_Data[[#This Row],[Salary]]+HR_Data[[#This Row],[Bonus]]</f>
        <v>92701</v>
      </c>
    </row>
    <row r="819" spans="1:11" x14ac:dyDescent="0.25">
      <c r="A819">
        <v>1818</v>
      </c>
      <c r="B819" t="s">
        <v>859</v>
      </c>
      <c r="C819" t="s">
        <v>12</v>
      </c>
      <c r="D819" t="s">
        <v>15</v>
      </c>
      <c r="E819" t="s">
        <v>16</v>
      </c>
      <c r="F819" t="s">
        <v>22</v>
      </c>
      <c r="G819">
        <v>59</v>
      </c>
      <c r="H819" s="13">
        <v>32638</v>
      </c>
      <c r="I819" s="13">
        <v>23731</v>
      </c>
      <c r="J819" t="s">
        <v>26</v>
      </c>
      <c r="K819" s="13">
        <f>HR_Data[[#This Row],[Salary]]+HR_Data[[#This Row],[Bonus]]</f>
        <v>56369</v>
      </c>
    </row>
    <row r="820" spans="1:11" x14ac:dyDescent="0.25">
      <c r="A820">
        <v>1819</v>
      </c>
      <c r="B820" t="s">
        <v>860</v>
      </c>
      <c r="C820" t="s">
        <v>12</v>
      </c>
      <c r="D820" t="s">
        <v>15</v>
      </c>
      <c r="E820" t="s">
        <v>16</v>
      </c>
      <c r="F820" t="s">
        <v>22</v>
      </c>
      <c r="G820">
        <v>46</v>
      </c>
      <c r="H820" s="13">
        <v>85715</v>
      </c>
      <c r="I820" s="13">
        <v>6041</v>
      </c>
      <c r="J820" t="s">
        <v>26</v>
      </c>
      <c r="K820" s="13">
        <f>HR_Data[[#This Row],[Salary]]+HR_Data[[#This Row],[Bonus]]</f>
        <v>91756</v>
      </c>
    </row>
    <row r="821" spans="1:11" x14ac:dyDescent="0.25">
      <c r="A821">
        <v>1820</v>
      </c>
      <c r="B821" t="s">
        <v>861</v>
      </c>
      <c r="C821" t="s">
        <v>27</v>
      </c>
      <c r="D821" t="s">
        <v>14</v>
      </c>
      <c r="E821" t="s">
        <v>18</v>
      </c>
      <c r="F821" t="s">
        <v>24</v>
      </c>
      <c r="G821">
        <v>32</v>
      </c>
      <c r="H821" s="13">
        <v>89409</v>
      </c>
      <c r="I821" s="13">
        <v>11927</v>
      </c>
      <c r="J821" t="s">
        <v>25</v>
      </c>
      <c r="K821" s="13">
        <f>HR_Data[[#This Row],[Salary]]+HR_Data[[#This Row],[Bonus]]</f>
        <v>101336</v>
      </c>
    </row>
    <row r="822" spans="1:11" x14ac:dyDescent="0.25">
      <c r="A822">
        <v>1821</v>
      </c>
      <c r="B822" t="s">
        <v>862</v>
      </c>
      <c r="C822" t="s">
        <v>8</v>
      </c>
      <c r="D822" t="s">
        <v>15</v>
      </c>
      <c r="E822" t="s">
        <v>20</v>
      </c>
      <c r="F822" t="s">
        <v>22</v>
      </c>
      <c r="G822">
        <v>29</v>
      </c>
      <c r="H822" s="13">
        <v>103106</v>
      </c>
      <c r="I822" s="13">
        <v>21395</v>
      </c>
      <c r="J822" t="s">
        <v>26</v>
      </c>
      <c r="K822" s="13">
        <f>HR_Data[[#This Row],[Salary]]+HR_Data[[#This Row],[Bonus]]</f>
        <v>124501</v>
      </c>
    </row>
    <row r="823" spans="1:11" x14ac:dyDescent="0.25">
      <c r="A823">
        <v>1822</v>
      </c>
      <c r="B823" t="s">
        <v>863</v>
      </c>
      <c r="C823" t="s">
        <v>27</v>
      </c>
      <c r="D823" t="s">
        <v>14</v>
      </c>
      <c r="E823" t="s">
        <v>16</v>
      </c>
      <c r="F823" t="s">
        <v>23</v>
      </c>
      <c r="G823">
        <v>29</v>
      </c>
      <c r="H823" s="13">
        <v>37157</v>
      </c>
      <c r="I823" s="13">
        <v>29364</v>
      </c>
      <c r="J823" t="s">
        <v>27</v>
      </c>
      <c r="K823" s="13">
        <f>HR_Data[[#This Row],[Salary]]+HR_Data[[#This Row],[Bonus]]</f>
        <v>66521</v>
      </c>
    </row>
    <row r="824" spans="1:11" x14ac:dyDescent="0.25">
      <c r="A824">
        <v>1823</v>
      </c>
      <c r="B824" t="s">
        <v>864</v>
      </c>
      <c r="C824" t="s">
        <v>10</v>
      </c>
      <c r="D824" t="s">
        <v>14</v>
      </c>
      <c r="E824" t="s">
        <v>17</v>
      </c>
      <c r="F824" t="s">
        <v>22</v>
      </c>
      <c r="G824">
        <v>54</v>
      </c>
      <c r="H824" s="13">
        <v>65565</v>
      </c>
      <c r="I824" s="13">
        <v>12871</v>
      </c>
      <c r="J824" t="s">
        <v>25</v>
      </c>
      <c r="K824" s="13">
        <f>HR_Data[[#This Row],[Salary]]+HR_Data[[#This Row],[Bonus]]</f>
        <v>78436</v>
      </c>
    </row>
    <row r="825" spans="1:11" x14ac:dyDescent="0.25">
      <c r="A825">
        <v>1824</v>
      </c>
      <c r="B825" t="s">
        <v>865</v>
      </c>
      <c r="C825" t="s">
        <v>10</v>
      </c>
      <c r="D825" t="s">
        <v>15</v>
      </c>
      <c r="E825" t="s">
        <v>16</v>
      </c>
      <c r="F825" t="s">
        <v>24</v>
      </c>
      <c r="G825">
        <v>28</v>
      </c>
      <c r="H825" s="13">
        <v>89996</v>
      </c>
      <c r="I825" s="13">
        <v>11375</v>
      </c>
      <c r="J825" t="s">
        <v>25</v>
      </c>
      <c r="K825" s="13">
        <f>HR_Data[[#This Row],[Salary]]+HR_Data[[#This Row],[Bonus]]</f>
        <v>101371</v>
      </c>
    </row>
    <row r="826" spans="1:11" x14ac:dyDescent="0.25">
      <c r="A826">
        <v>1825</v>
      </c>
      <c r="B826" t="s">
        <v>866</v>
      </c>
      <c r="C826" t="s">
        <v>11</v>
      </c>
      <c r="D826" t="s">
        <v>14</v>
      </c>
      <c r="E826" t="s">
        <v>17</v>
      </c>
      <c r="F826" t="s">
        <v>23</v>
      </c>
      <c r="G826">
        <v>59</v>
      </c>
      <c r="H826" s="13">
        <v>85888</v>
      </c>
      <c r="I826" s="13">
        <v>28482</v>
      </c>
      <c r="J826" t="s">
        <v>25</v>
      </c>
      <c r="K826" s="13">
        <f>HR_Data[[#This Row],[Salary]]+HR_Data[[#This Row],[Bonus]]</f>
        <v>114370</v>
      </c>
    </row>
    <row r="827" spans="1:11" x14ac:dyDescent="0.25">
      <c r="A827">
        <v>1826</v>
      </c>
      <c r="B827" t="s">
        <v>867</v>
      </c>
      <c r="C827" t="s">
        <v>11</v>
      </c>
      <c r="D827" t="s">
        <v>15</v>
      </c>
      <c r="E827" t="s">
        <v>19</v>
      </c>
      <c r="F827" t="s">
        <v>21</v>
      </c>
      <c r="G827">
        <v>42</v>
      </c>
      <c r="H827" s="13">
        <v>76095</v>
      </c>
      <c r="I827" s="13">
        <v>8676</v>
      </c>
      <c r="J827" t="s">
        <v>25</v>
      </c>
      <c r="K827" s="13">
        <f>HR_Data[[#This Row],[Salary]]+HR_Data[[#This Row],[Bonus]]</f>
        <v>84771</v>
      </c>
    </row>
    <row r="828" spans="1:11" x14ac:dyDescent="0.25">
      <c r="A828">
        <v>1827</v>
      </c>
      <c r="B828" t="s">
        <v>868</v>
      </c>
      <c r="C828" t="s">
        <v>9</v>
      </c>
      <c r="D828" t="s">
        <v>15</v>
      </c>
      <c r="E828" t="s">
        <v>19</v>
      </c>
      <c r="F828" t="s">
        <v>24</v>
      </c>
      <c r="G828">
        <v>29</v>
      </c>
      <c r="H828" s="13">
        <v>84947</v>
      </c>
      <c r="I828" s="13">
        <v>27493</v>
      </c>
      <c r="J828" t="s">
        <v>26</v>
      </c>
      <c r="K828" s="13">
        <f>HR_Data[[#This Row],[Salary]]+HR_Data[[#This Row],[Bonus]]</f>
        <v>112440</v>
      </c>
    </row>
    <row r="829" spans="1:11" x14ac:dyDescent="0.25">
      <c r="A829">
        <v>1828</v>
      </c>
      <c r="B829" t="s">
        <v>869</v>
      </c>
      <c r="C829" t="s">
        <v>9</v>
      </c>
      <c r="D829" t="s">
        <v>14</v>
      </c>
      <c r="E829" t="s">
        <v>17</v>
      </c>
      <c r="F829" t="s">
        <v>21</v>
      </c>
      <c r="G829">
        <v>42</v>
      </c>
      <c r="H829" s="13">
        <v>69554.53</v>
      </c>
      <c r="I829" s="13">
        <v>18017</v>
      </c>
      <c r="J829" t="s">
        <v>25</v>
      </c>
      <c r="K829" s="13">
        <f>HR_Data[[#This Row],[Salary]]+HR_Data[[#This Row],[Bonus]]</f>
        <v>87571.53</v>
      </c>
    </row>
    <row r="830" spans="1:11" x14ac:dyDescent="0.25">
      <c r="A830">
        <v>1829</v>
      </c>
      <c r="B830" t="s">
        <v>870</v>
      </c>
      <c r="C830" t="s">
        <v>10</v>
      </c>
      <c r="D830" t="s">
        <v>14</v>
      </c>
      <c r="E830" t="s">
        <v>20</v>
      </c>
      <c r="F830" t="s">
        <v>23</v>
      </c>
      <c r="G830">
        <v>41</v>
      </c>
      <c r="H830" s="13">
        <v>90880</v>
      </c>
      <c r="I830" s="13">
        <v>26781</v>
      </c>
      <c r="J830" t="s">
        <v>25</v>
      </c>
      <c r="K830" s="13">
        <f>HR_Data[[#This Row],[Salary]]+HR_Data[[#This Row],[Bonus]]</f>
        <v>117661</v>
      </c>
    </row>
    <row r="831" spans="1:11" x14ac:dyDescent="0.25">
      <c r="A831">
        <v>1830</v>
      </c>
      <c r="B831" t="s">
        <v>871</v>
      </c>
      <c r="C831" t="s">
        <v>8</v>
      </c>
      <c r="D831" t="s">
        <v>14</v>
      </c>
      <c r="E831" t="s">
        <v>16</v>
      </c>
      <c r="F831" t="s">
        <v>24</v>
      </c>
      <c r="G831">
        <v>29</v>
      </c>
      <c r="H831" s="13">
        <v>24507</v>
      </c>
      <c r="I831" s="13">
        <v>8065</v>
      </c>
      <c r="J831" t="s">
        <v>25</v>
      </c>
      <c r="K831" s="13">
        <f>HR_Data[[#This Row],[Salary]]+HR_Data[[#This Row],[Bonus]]</f>
        <v>32572</v>
      </c>
    </row>
    <row r="832" spans="1:11" x14ac:dyDescent="0.25">
      <c r="A832">
        <v>1831</v>
      </c>
      <c r="B832" t="s">
        <v>872</v>
      </c>
      <c r="C832" t="s">
        <v>12</v>
      </c>
      <c r="D832" t="s">
        <v>14</v>
      </c>
      <c r="E832" t="s">
        <v>16</v>
      </c>
      <c r="F832" t="s">
        <v>24</v>
      </c>
      <c r="G832">
        <v>52</v>
      </c>
      <c r="H832" s="13">
        <v>63988</v>
      </c>
      <c r="I832" s="13">
        <v>7036</v>
      </c>
      <c r="J832" t="s">
        <v>25</v>
      </c>
      <c r="K832" s="13">
        <f>HR_Data[[#This Row],[Salary]]+HR_Data[[#This Row],[Bonus]]</f>
        <v>71024</v>
      </c>
    </row>
    <row r="833" spans="1:11" x14ac:dyDescent="0.25">
      <c r="A833">
        <v>1832</v>
      </c>
      <c r="B833" t="s">
        <v>873</v>
      </c>
      <c r="C833" t="s">
        <v>11</v>
      </c>
      <c r="D833" t="s">
        <v>15</v>
      </c>
      <c r="E833" t="s">
        <v>19</v>
      </c>
      <c r="F833" t="s">
        <v>23</v>
      </c>
      <c r="G833">
        <v>50</v>
      </c>
      <c r="H833" s="13">
        <v>118421</v>
      </c>
      <c r="I833" s="13">
        <v>8046</v>
      </c>
      <c r="J833" t="s">
        <v>26</v>
      </c>
      <c r="K833" s="13">
        <f>HR_Data[[#This Row],[Salary]]+HR_Data[[#This Row],[Bonus]]</f>
        <v>126467</v>
      </c>
    </row>
    <row r="834" spans="1:11" x14ac:dyDescent="0.25">
      <c r="A834">
        <v>1833</v>
      </c>
      <c r="B834" t="s">
        <v>874</v>
      </c>
      <c r="C834" t="s">
        <v>8</v>
      </c>
      <c r="D834" t="s">
        <v>15</v>
      </c>
      <c r="E834" t="s">
        <v>17</v>
      </c>
      <c r="F834" t="s">
        <v>22</v>
      </c>
      <c r="G834">
        <v>30</v>
      </c>
      <c r="H834" s="13">
        <v>36865</v>
      </c>
      <c r="I834" s="13">
        <v>21924</v>
      </c>
      <c r="J834" t="s">
        <v>25</v>
      </c>
      <c r="K834" s="13">
        <f>HR_Data[[#This Row],[Salary]]+HR_Data[[#This Row],[Bonus]]</f>
        <v>58789</v>
      </c>
    </row>
    <row r="835" spans="1:11" x14ac:dyDescent="0.25">
      <c r="A835">
        <v>1834</v>
      </c>
      <c r="B835" t="s">
        <v>875</v>
      </c>
      <c r="C835" t="s">
        <v>2042</v>
      </c>
      <c r="D835" t="s">
        <v>15</v>
      </c>
      <c r="E835" t="s">
        <v>16</v>
      </c>
      <c r="F835" t="s">
        <v>24</v>
      </c>
      <c r="G835">
        <v>36</v>
      </c>
      <c r="H835" s="13">
        <v>47213</v>
      </c>
      <c r="I835" s="13">
        <v>5076</v>
      </c>
      <c r="J835" t="s">
        <v>26</v>
      </c>
      <c r="K835" s="13">
        <f>HR_Data[[#This Row],[Salary]]+HR_Data[[#This Row],[Bonus]]</f>
        <v>52289</v>
      </c>
    </row>
    <row r="836" spans="1:11" x14ac:dyDescent="0.25">
      <c r="A836">
        <v>1835</v>
      </c>
      <c r="B836" t="s">
        <v>876</v>
      </c>
      <c r="C836" t="s">
        <v>11</v>
      </c>
      <c r="D836" t="s">
        <v>14</v>
      </c>
      <c r="E836" t="s">
        <v>16</v>
      </c>
      <c r="F836" t="s">
        <v>24</v>
      </c>
      <c r="G836">
        <v>51</v>
      </c>
      <c r="H836" s="13">
        <v>75954</v>
      </c>
      <c r="I836" s="13">
        <v>24451</v>
      </c>
      <c r="J836" t="s">
        <v>26</v>
      </c>
      <c r="K836" s="13">
        <f>HR_Data[[#This Row],[Salary]]+HR_Data[[#This Row],[Bonus]]</f>
        <v>100405</v>
      </c>
    </row>
    <row r="837" spans="1:11" x14ac:dyDescent="0.25">
      <c r="A837">
        <v>1836</v>
      </c>
      <c r="B837" t="s">
        <v>877</v>
      </c>
      <c r="C837" t="s">
        <v>11</v>
      </c>
      <c r="D837" t="s">
        <v>14</v>
      </c>
      <c r="E837" t="s">
        <v>20</v>
      </c>
      <c r="F837" t="s">
        <v>21</v>
      </c>
      <c r="G837">
        <v>47</v>
      </c>
      <c r="H837" s="13">
        <v>77450</v>
      </c>
      <c r="I837" s="13">
        <v>20880</v>
      </c>
      <c r="J837" t="s">
        <v>25</v>
      </c>
      <c r="K837" s="13">
        <f>HR_Data[[#This Row],[Salary]]+HR_Data[[#This Row],[Bonus]]</f>
        <v>98330</v>
      </c>
    </row>
    <row r="838" spans="1:11" x14ac:dyDescent="0.25">
      <c r="A838">
        <v>1837</v>
      </c>
      <c r="B838" t="s">
        <v>878</v>
      </c>
      <c r="C838" t="s">
        <v>9</v>
      </c>
      <c r="D838" t="s">
        <v>14</v>
      </c>
      <c r="E838" t="s">
        <v>18</v>
      </c>
      <c r="F838" t="s">
        <v>22</v>
      </c>
      <c r="G838">
        <v>31</v>
      </c>
      <c r="H838" s="13">
        <v>24477</v>
      </c>
      <c r="I838" s="13">
        <v>21407</v>
      </c>
      <c r="J838" t="s">
        <v>25</v>
      </c>
      <c r="K838" s="13">
        <f>HR_Data[[#This Row],[Salary]]+HR_Data[[#This Row],[Bonus]]</f>
        <v>45884</v>
      </c>
    </row>
    <row r="839" spans="1:11" x14ac:dyDescent="0.25">
      <c r="A839">
        <v>1838</v>
      </c>
      <c r="B839" t="s">
        <v>879</v>
      </c>
      <c r="C839" t="s">
        <v>12</v>
      </c>
      <c r="D839" t="s">
        <v>27</v>
      </c>
      <c r="E839" t="s">
        <v>19</v>
      </c>
      <c r="F839" t="s">
        <v>21</v>
      </c>
      <c r="G839">
        <v>50</v>
      </c>
      <c r="H839" s="13">
        <v>82222</v>
      </c>
      <c r="I839" s="13">
        <v>26518</v>
      </c>
      <c r="J839" t="s">
        <v>25</v>
      </c>
      <c r="K839" s="13">
        <f>HR_Data[[#This Row],[Salary]]+HR_Data[[#This Row],[Bonus]]</f>
        <v>108740</v>
      </c>
    </row>
    <row r="840" spans="1:11" x14ac:dyDescent="0.25">
      <c r="A840">
        <v>1839</v>
      </c>
      <c r="B840" t="s">
        <v>880</v>
      </c>
      <c r="C840" t="s">
        <v>12</v>
      </c>
      <c r="D840" t="s">
        <v>14</v>
      </c>
      <c r="E840" t="s">
        <v>19</v>
      </c>
      <c r="F840" t="s">
        <v>21</v>
      </c>
      <c r="G840">
        <v>37</v>
      </c>
      <c r="H840" s="13">
        <v>26533</v>
      </c>
      <c r="I840" s="13">
        <v>22059</v>
      </c>
      <c r="J840" t="s">
        <v>25</v>
      </c>
      <c r="K840" s="13">
        <f>HR_Data[[#This Row],[Salary]]+HR_Data[[#This Row],[Bonus]]</f>
        <v>48592</v>
      </c>
    </row>
    <row r="841" spans="1:11" x14ac:dyDescent="0.25">
      <c r="A841">
        <v>1840</v>
      </c>
      <c r="B841" t="s">
        <v>881</v>
      </c>
      <c r="C841" t="s">
        <v>2042</v>
      </c>
      <c r="D841" t="s">
        <v>15</v>
      </c>
      <c r="E841" t="s">
        <v>18</v>
      </c>
      <c r="F841" t="s">
        <v>22</v>
      </c>
      <c r="G841">
        <v>57</v>
      </c>
      <c r="H841" s="13">
        <v>69395</v>
      </c>
      <c r="I841" s="13">
        <v>28052</v>
      </c>
      <c r="J841" t="s">
        <v>25</v>
      </c>
      <c r="K841" s="13">
        <f>HR_Data[[#This Row],[Salary]]+HR_Data[[#This Row],[Bonus]]</f>
        <v>97447</v>
      </c>
    </row>
    <row r="842" spans="1:11" x14ac:dyDescent="0.25">
      <c r="A842">
        <v>1841</v>
      </c>
      <c r="B842" t="s">
        <v>882</v>
      </c>
      <c r="C842" t="s">
        <v>2042</v>
      </c>
      <c r="D842" t="s">
        <v>14</v>
      </c>
      <c r="E842" t="s">
        <v>16</v>
      </c>
      <c r="F842" t="s">
        <v>22</v>
      </c>
      <c r="G842">
        <v>41</v>
      </c>
      <c r="H842" s="13">
        <v>43396</v>
      </c>
      <c r="I842" s="13">
        <v>9267</v>
      </c>
      <c r="J842" t="s">
        <v>25</v>
      </c>
      <c r="K842" s="13">
        <f>HR_Data[[#This Row],[Salary]]+HR_Data[[#This Row],[Bonus]]</f>
        <v>52663</v>
      </c>
    </row>
    <row r="843" spans="1:11" x14ac:dyDescent="0.25">
      <c r="A843">
        <v>1842</v>
      </c>
      <c r="B843" t="s">
        <v>883</v>
      </c>
      <c r="C843" t="s">
        <v>11</v>
      </c>
      <c r="D843" t="s">
        <v>15</v>
      </c>
      <c r="E843" t="s">
        <v>20</v>
      </c>
      <c r="F843" t="s">
        <v>23</v>
      </c>
      <c r="G843">
        <v>58</v>
      </c>
      <c r="H843" s="13">
        <v>32755</v>
      </c>
      <c r="I843" s="13">
        <v>10988</v>
      </c>
      <c r="J843" t="s">
        <v>25</v>
      </c>
      <c r="K843" s="13">
        <f>HR_Data[[#This Row],[Salary]]+HR_Data[[#This Row],[Bonus]]</f>
        <v>43743</v>
      </c>
    </row>
    <row r="844" spans="1:11" x14ac:dyDescent="0.25">
      <c r="A844">
        <v>1843</v>
      </c>
      <c r="B844" t="s">
        <v>884</v>
      </c>
      <c r="C844" t="s">
        <v>10</v>
      </c>
      <c r="D844" t="s">
        <v>15</v>
      </c>
      <c r="E844" t="s">
        <v>20</v>
      </c>
      <c r="F844" t="s">
        <v>22</v>
      </c>
      <c r="G844">
        <v>43</v>
      </c>
      <c r="H844" s="13">
        <v>20865</v>
      </c>
      <c r="I844" s="13">
        <v>29036</v>
      </c>
      <c r="J844" t="s">
        <v>25</v>
      </c>
      <c r="K844" s="13">
        <f>HR_Data[[#This Row],[Salary]]+HR_Data[[#This Row],[Bonus]]</f>
        <v>49901</v>
      </c>
    </row>
    <row r="845" spans="1:11" x14ac:dyDescent="0.25">
      <c r="A845">
        <v>1844</v>
      </c>
      <c r="B845" t="s">
        <v>885</v>
      </c>
      <c r="C845" t="s">
        <v>9</v>
      </c>
      <c r="D845" t="s">
        <v>14</v>
      </c>
      <c r="E845" t="s">
        <v>19</v>
      </c>
      <c r="F845" t="s">
        <v>24</v>
      </c>
      <c r="G845">
        <v>28</v>
      </c>
      <c r="H845" s="13">
        <v>31173</v>
      </c>
      <c r="I845" s="13">
        <v>13680</v>
      </c>
      <c r="J845" t="s">
        <v>25</v>
      </c>
      <c r="K845" s="13">
        <f>HR_Data[[#This Row],[Salary]]+HR_Data[[#This Row],[Bonus]]</f>
        <v>44853</v>
      </c>
    </row>
    <row r="846" spans="1:11" x14ac:dyDescent="0.25">
      <c r="A846">
        <v>1845</v>
      </c>
      <c r="B846" t="s">
        <v>886</v>
      </c>
      <c r="C846" t="s">
        <v>9</v>
      </c>
      <c r="D846" t="s">
        <v>14</v>
      </c>
      <c r="E846" t="s">
        <v>20</v>
      </c>
      <c r="F846" t="s">
        <v>22</v>
      </c>
      <c r="G846">
        <v>44</v>
      </c>
      <c r="H846" s="13">
        <v>78905</v>
      </c>
      <c r="I846" s="13">
        <v>6485</v>
      </c>
      <c r="J846" t="s">
        <v>25</v>
      </c>
      <c r="K846" s="13">
        <f>HR_Data[[#This Row],[Salary]]+HR_Data[[#This Row],[Bonus]]</f>
        <v>85390</v>
      </c>
    </row>
    <row r="847" spans="1:11" x14ac:dyDescent="0.25">
      <c r="A847">
        <v>1846</v>
      </c>
      <c r="B847" t="s">
        <v>887</v>
      </c>
      <c r="C847" t="s">
        <v>11</v>
      </c>
      <c r="D847" t="s">
        <v>15</v>
      </c>
      <c r="E847" t="s">
        <v>18</v>
      </c>
      <c r="F847" t="s">
        <v>23</v>
      </c>
      <c r="G847">
        <v>50</v>
      </c>
      <c r="H847" s="13">
        <v>58097</v>
      </c>
      <c r="I847" s="13">
        <v>19713</v>
      </c>
      <c r="J847" t="s">
        <v>25</v>
      </c>
      <c r="K847" s="13">
        <f>HR_Data[[#This Row],[Salary]]+HR_Data[[#This Row],[Bonus]]</f>
        <v>77810</v>
      </c>
    </row>
    <row r="848" spans="1:11" x14ac:dyDescent="0.25">
      <c r="A848">
        <v>1847</v>
      </c>
      <c r="B848" t="s">
        <v>888</v>
      </c>
      <c r="C848" t="s">
        <v>8</v>
      </c>
      <c r="D848" t="s">
        <v>15</v>
      </c>
      <c r="E848" t="s">
        <v>16</v>
      </c>
      <c r="F848" t="s">
        <v>23</v>
      </c>
      <c r="G848">
        <v>37</v>
      </c>
      <c r="H848" s="13">
        <v>53371</v>
      </c>
      <c r="I848" s="13">
        <v>25043</v>
      </c>
      <c r="J848" t="s">
        <v>25</v>
      </c>
      <c r="K848" s="13">
        <f>HR_Data[[#This Row],[Salary]]+HR_Data[[#This Row],[Bonus]]</f>
        <v>78414</v>
      </c>
    </row>
    <row r="849" spans="1:11" x14ac:dyDescent="0.25">
      <c r="A849">
        <v>1848</v>
      </c>
      <c r="B849" t="s">
        <v>889</v>
      </c>
      <c r="C849" t="s">
        <v>10</v>
      </c>
      <c r="D849" t="s">
        <v>14</v>
      </c>
      <c r="E849" t="s">
        <v>18</v>
      </c>
      <c r="F849" t="s">
        <v>23</v>
      </c>
      <c r="G849">
        <v>59</v>
      </c>
      <c r="H849" s="13">
        <v>31254</v>
      </c>
      <c r="I849" s="13">
        <v>7419</v>
      </c>
      <c r="J849" t="s">
        <v>25</v>
      </c>
      <c r="K849" s="13">
        <f>HR_Data[[#This Row],[Salary]]+HR_Data[[#This Row],[Bonus]]</f>
        <v>38673</v>
      </c>
    </row>
    <row r="850" spans="1:11" x14ac:dyDescent="0.25">
      <c r="A850">
        <v>1849</v>
      </c>
      <c r="B850" t="s">
        <v>890</v>
      </c>
      <c r="C850" t="s">
        <v>11</v>
      </c>
      <c r="D850" t="s">
        <v>14</v>
      </c>
      <c r="E850" t="s">
        <v>17</v>
      </c>
      <c r="F850" t="s">
        <v>22</v>
      </c>
      <c r="G850">
        <v>49</v>
      </c>
      <c r="H850" s="13">
        <v>24018</v>
      </c>
      <c r="I850" s="13">
        <v>29124</v>
      </c>
      <c r="J850" t="s">
        <v>25</v>
      </c>
      <c r="K850" s="13">
        <f>HR_Data[[#This Row],[Salary]]+HR_Data[[#This Row],[Bonus]]</f>
        <v>53142</v>
      </c>
    </row>
    <row r="851" spans="1:11" x14ac:dyDescent="0.25">
      <c r="A851">
        <v>1850</v>
      </c>
      <c r="B851" t="s">
        <v>891</v>
      </c>
      <c r="C851" t="s">
        <v>10</v>
      </c>
      <c r="D851" t="s">
        <v>15</v>
      </c>
      <c r="E851" t="s">
        <v>19</v>
      </c>
      <c r="F851" t="s">
        <v>22</v>
      </c>
      <c r="G851">
        <v>59</v>
      </c>
      <c r="H851" s="13">
        <v>25192</v>
      </c>
      <c r="I851" s="13">
        <v>28527</v>
      </c>
      <c r="J851" t="s">
        <v>25</v>
      </c>
      <c r="K851" s="13">
        <f>HR_Data[[#This Row],[Salary]]+HR_Data[[#This Row],[Bonus]]</f>
        <v>53719</v>
      </c>
    </row>
    <row r="852" spans="1:11" x14ac:dyDescent="0.25">
      <c r="A852">
        <v>1851</v>
      </c>
      <c r="B852" t="s">
        <v>892</v>
      </c>
      <c r="C852" t="s">
        <v>10</v>
      </c>
      <c r="D852" t="s">
        <v>14</v>
      </c>
      <c r="E852" t="s">
        <v>20</v>
      </c>
      <c r="F852" t="s">
        <v>21</v>
      </c>
      <c r="G852">
        <v>52</v>
      </c>
      <c r="H852" s="13">
        <v>22015</v>
      </c>
      <c r="I852" s="13">
        <v>20312</v>
      </c>
      <c r="J852" t="s">
        <v>25</v>
      </c>
      <c r="K852" s="13">
        <f>HR_Data[[#This Row],[Salary]]+HR_Data[[#This Row],[Bonus]]</f>
        <v>42327</v>
      </c>
    </row>
    <row r="853" spans="1:11" x14ac:dyDescent="0.25">
      <c r="A853">
        <v>1852</v>
      </c>
      <c r="B853" t="s">
        <v>893</v>
      </c>
      <c r="C853" t="s">
        <v>10</v>
      </c>
      <c r="D853" t="s">
        <v>15</v>
      </c>
      <c r="E853" t="s">
        <v>17</v>
      </c>
      <c r="F853" t="s">
        <v>21</v>
      </c>
      <c r="G853">
        <v>35</v>
      </c>
      <c r="H853" s="13">
        <v>88916</v>
      </c>
      <c r="I853" s="13">
        <v>8495</v>
      </c>
      <c r="J853" t="s">
        <v>25</v>
      </c>
      <c r="K853" s="13">
        <f>HR_Data[[#This Row],[Salary]]+HR_Data[[#This Row],[Bonus]]</f>
        <v>97411</v>
      </c>
    </row>
    <row r="854" spans="1:11" x14ac:dyDescent="0.25">
      <c r="A854">
        <v>1853</v>
      </c>
      <c r="B854" t="s">
        <v>894</v>
      </c>
      <c r="C854" t="s">
        <v>11</v>
      </c>
      <c r="D854" t="s">
        <v>15</v>
      </c>
      <c r="E854" t="s">
        <v>20</v>
      </c>
      <c r="F854" t="s">
        <v>24</v>
      </c>
      <c r="G854">
        <v>54</v>
      </c>
      <c r="H854" s="13">
        <v>48343</v>
      </c>
      <c r="I854" s="13">
        <v>22140</v>
      </c>
      <c r="J854" t="s">
        <v>25</v>
      </c>
      <c r="K854" s="13">
        <f>HR_Data[[#This Row],[Salary]]+HR_Data[[#This Row],[Bonus]]</f>
        <v>70483</v>
      </c>
    </row>
    <row r="855" spans="1:11" x14ac:dyDescent="0.25">
      <c r="A855">
        <v>1854</v>
      </c>
      <c r="B855" t="s">
        <v>895</v>
      </c>
      <c r="C855" t="s">
        <v>9</v>
      </c>
      <c r="D855" t="s">
        <v>14</v>
      </c>
      <c r="E855" t="s">
        <v>16</v>
      </c>
      <c r="F855" t="s">
        <v>21</v>
      </c>
      <c r="G855">
        <v>30</v>
      </c>
      <c r="H855" s="13">
        <v>89306</v>
      </c>
      <c r="I855" s="13">
        <v>15716</v>
      </c>
      <c r="J855" t="s">
        <v>25</v>
      </c>
      <c r="K855" s="13">
        <f>HR_Data[[#This Row],[Salary]]+HR_Data[[#This Row],[Bonus]]</f>
        <v>105022</v>
      </c>
    </row>
    <row r="856" spans="1:11" x14ac:dyDescent="0.25">
      <c r="A856">
        <v>1855</v>
      </c>
      <c r="B856" t="s">
        <v>896</v>
      </c>
      <c r="C856" t="s">
        <v>9</v>
      </c>
      <c r="D856" t="s">
        <v>14</v>
      </c>
      <c r="E856" t="s">
        <v>16</v>
      </c>
      <c r="F856" t="s">
        <v>24</v>
      </c>
      <c r="G856">
        <v>48</v>
      </c>
      <c r="H856" s="13">
        <v>25829</v>
      </c>
      <c r="I856" s="13">
        <v>17442</v>
      </c>
      <c r="J856" t="s">
        <v>25</v>
      </c>
      <c r="K856" s="13">
        <f>HR_Data[[#This Row],[Salary]]+HR_Data[[#This Row],[Bonus]]</f>
        <v>43271</v>
      </c>
    </row>
    <row r="857" spans="1:11" x14ac:dyDescent="0.25">
      <c r="A857">
        <v>1856</v>
      </c>
      <c r="B857" t="s">
        <v>897</v>
      </c>
      <c r="C857" t="s">
        <v>10</v>
      </c>
      <c r="D857" t="s">
        <v>14</v>
      </c>
      <c r="E857" t="s">
        <v>16</v>
      </c>
      <c r="F857" t="s">
        <v>23</v>
      </c>
      <c r="G857">
        <v>45</v>
      </c>
      <c r="H857" s="13">
        <v>54381</v>
      </c>
      <c r="I857" s="13">
        <v>29832</v>
      </c>
      <c r="J857" t="s">
        <v>25</v>
      </c>
      <c r="K857" s="13">
        <f>HR_Data[[#This Row],[Salary]]+HR_Data[[#This Row],[Bonus]]</f>
        <v>84213</v>
      </c>
    </row>
    <row r="858" spans="1:11" x14ac:dyDescent="0.25">
      <c r="A858">
        <v>1857</v>
      </c>
      <c r="B858" t="s">
        <v>898</v>
      </c>
      <c r="C858" t="s">
        <v>8</v>
      </c>
      <c r="D858" t="s">
        <v>14</v>
      </c>
      <c r="E858" t="s">
        <v>20</v>
      </c>
      <c r="F858" t="s">
        <v>21</v>
      </c>
      <c r="G858">
        <v>34</v>
      </c>
      <c r="H858" s="13">
        <v>101081</v>
      </c>
      <c r="I858" s="13">
        <v>23163</v>
      </c>
      <c r="J858" t="s">
        <v>25</v>
      </c>
      <c r="K858" s="13">
        <f>HR_Data[[#This Row],[Salary]]+HR_Data[[#This Row],[Bonus]]</f>
        <v>124244</v>
      </c>
    </row>
    <row r="859" spans="1:11" x14ac:dyDescent="0.25">
      <c r="A859">
        <v>1858</v>
      </c>
      <c r="B859" t="s">
        <v>899</v>
      </c>
      <c r="C859" t="s">
        <v>12</v>
      </c>
      <c r="D859" t="s">
        <v>14</v>
      </c>
      <c r="E859" t="s">
        <v>17</v>
      </c>
      <c r="F859" t="s">
        <v>22</v>
      </c>
      <c r="G859">
        <v>47</v>
      </c>
      <c r="H859" s="13">
        <v>38263</v>
      </c>
      <c r="I859" s="13">
        <v>17961</v>
      </c>
      <c r="J859" t="s">
        <v>25</v>
      </c>
      <c r="K859" s="13">
        <f>HR_Data[[#This Row],[Salary]]+HR_Data[[#This Row],[Bonus]]</f>
        <v>56224</v>
      </c>
    </row>
    <row r="860" spans="1:11" x14ac:dyDescent="0.25">
      <c r="A860">
        <v>1859</v>
      </c>
      <c r="B860" t="s">
        <v>900</v>
      </c>
      <c r="C860" t="s">
        <v>11</v>
      </c>
      <c r="D860" t="s">
        <v>15</v>
      </c>
      <c r="E860" t="s">
        <v>16</v>
      </c>
      <c r="F860" t="s">
        <v>21</v>
      </c>
      <c r="G860">
        <v>50</v>
      </c>
      <c r="H860" s="13">
        <v>73260</v>
      </c>
      <c r="I860" s="13">
        <v>15307</v>
      </c>
      <c r="J860" t="s">
        <v>26</v>
      </c>
      <c r="K860" s="13">
        <f>HR_Data[[#This Row],[Salary]]+HR_Data[[#This Row],[Bonus]]</f>
        <v>88567</v>
      </c>
    </row>
    <row r="861" spans="1:11" x14ac:dyDescent="0.25">
      <c r="A861">
        <v>1860</v>
      </c>
      <c r="B861" t="s">
        <v>901</v>
      </c>
      <c r="C861" t="s">
        <v>12</v>
      </c>
      <c r="D861" t="s">
        <v>15</v>
      </c>
      <c r="E861" t="s">
        <v>17</v>
      </c>
      <c r="F861" t="s">
        <v>24</v>
      </c>
      <c r="G861">
        <v>49</v>
      </c>
      <c r="H861" s="13">
        <v>63306</v>
      </c>
      <c r="I861" s="13">
        <v>11487</v>
      </c>
      <c r="J861" t="s">
        <v>25</v>
      </c>
      <c r="K861" s="13">
        <f>HR_Data[[#This Row],[Salary]]+HR_Data[[#This Row],[Bonus]]</f>
        <v>74793</v>
      </c>
    </row>
    <row r="862" spans="1:11" x14ac:dyDescent="0.25">
      <c r="A862">
        <v>1861</v>
      </c>
      <c r="B862" t="s">
        <v>902</v>
      </c>
      <c r="C862" t="s">
        <v>8</v>
      </c>
      <c r="D862" t="s">
        <v>14</v>
      </c>
      <c r="E862" t="s">
        <v>20</v>
      </c>
      <c r="F862" t="s">
        <v>21</v>
      </c>
      <c r="G862">
        <v>49</v>
      </c>
      <c r="H862" s="13">
        <v>111211</v>
      </c>
      <c r="I862" s="13">
        <v>14664</v>
      </c>
      <c r="J862" t="s">
        <v>25</v>
      </c>
      <c r="K862" s="13">
        <f>HR_Data[[#This Row],[Salary]]+HR_Data[[#This Row],[Bonus]]</f>
        <v>125875</v>
      </c>
    </row>
    <row r="863" spans="1:11" x14ac:dyDescent="0.25">
      <c r="A863">
        <v>1862</v>
      </c>
      <c r="B863" t="s">
        <v>903</v>
      </c>
      <c r="C863" t="s">
        <v>11</v>
      </c>
      <c r="D863" t="s">
        <v>14</v>
      </c>
      <c r="E863" t="s">
        <v>17</v>
      </c>
      <c r="F863" t="s">
        <v>23</v>
      </c>
      <c r="G863">
        <v>29</v>
      </c>
      <c r="H863" s="13">
        <v>78418</v>
      </c>
      <c r="I863" s="13">
        <v>21360</v>
      </c>
      <c r="J863" t="s">
        <v>25</v>
      </c>
      <c r="K863" s="13">
        <f>HR_Data[[#This Row],[Salary]]+HR_Data[[#This Row],[Bonus]]</f>
        <v>99778</v>
      </c>
    </row>
    <row r="864" spans="1:11" x14ac:dyDescent="0.25">
      <c r="A864">
        <v>1863</v>
      </c>
      <c r="B864" t="s">
        <v>904</v>
      </c>
      <c r="C864" t="s">
        <v>10</v>
      </c>
      <c r="D864" t="s">
        <v>14</v>
      </c>
      <c r="E864" t="s">
        <v>20</v>
      </c>
      <c r="F864" t="s">
        <v>22</v>
      </c>
      <c r="G864">
        <v>44</v>
      </c>
      <c r="H864" s="13">
        <v>110898</v>
      </c>
      <c r="I864" s="13">
        <v>21642</v>
      </c>
      <c r="J864" t="s">
        <v>25</v>
      </c>
      <c r="K864" s="13">
        <f>HR_Data[[#This Row],[Salary]]+HR_Data[[#This Row],[Bonus]]</f>
        <v>132540</v>
      </c>
    </row>
    <row r="865" spans="1:11" x14ac:dyDescent="0.25">
      <c r="A865">
        <v>1864</v>
      </c>
      <c r="B865" t="s">
        <v>905</v>
      </c>
      <c r="C865" t="s">
        <v>9</v>
      </c>
      <c r="D865" t="s">
        <v>15</v>
      </c>
      <c r="E865" t="s">
        <v>20</v>
      </c>
      <c r="F865" t="s">
        <v>24</v>
      </c>
      <c r="G865">
        <v>50</v>
      </c>
      <c r="H865" s="13">
        <v>20148</v>
      </c>
      <c r="I865" s="13">
        <v>9075</v>
      </c>
      <c r="J865" t="s">
        <v>25</v>
      </c>
      <c r="K865" s="13">
        <f>HR_Data[[#This Row],[Salary]]+HR_Data[[#This Row],[Bonus]]</f>
        <v>29223</v>
      </c>
    </row>
    <row r="866" spans="1:11" x14ac:dyDescent="0.25">
      <c r="A866">
        <v>1865</v>
      </c>
      <c r="B866" t="s">
        <v>906</v>
      </c>
      <c r="C866" t="s">
        <v>12</v>
      </c>
      <c r="D866" t="s">
        <v>14</v>
      </c>
      <c r="E866" t="s">
        <v>19</v>
      </c>
      <c r="F866" t="s">
        <v>22</v>
      </c>
      <c r="G866">
        <v>26</v>
      </c>
      <c r="H866" s="13">
        <v>21754</v>
      </c>
      <c r="I866" s="13">
        <v>29882</v>
      </c>
      <c r="J866" t="s">
        <v>25</v>
      </c>
      <c r="K866" s="13">
        <f>HR_Data[[#This Row],[Salary]]+HR_Data[[#This Row],[Bonus]]</f>
        <v>51636</v>
      </c>
    </row>
    <row r="867" spans="1:11" x14ac:dyDescent="0.25">
      <c r="A867">
        <v>1866</v>
      </c>
      <c r="B867" t="s">
        <v>907</v>
      </c>
      <c r="C867" t="s">
        <v>2042</v>
      </c>
      <c r="D867" t="s">
        <v>14</v>
      </c>
      <c r="E867" t="s">
        <v>20</v>
      </c>
      <c r="F867" t="s">
        <v>22</v>
      </c>
      <c r="G867">
        <v>28</v>
      </c>
      <c r="H867" s="13">
        <v>46745</v>
      </c>
      <c r="I867" s="13">
        <v>29398</v>
      </c>
      <c r="J867" t="s">
        <v>26</v>
      </c>
      <c r="K867" s="13">
        <f>HR_Data[[#This Row],[Salary]]+HR_Data[[#This Row],[Bonus]]</f>
        <v>76143</v>
      </c>
    </row>
    <row r="868" spans="1:11" x14ac:dyDescent="0.25">
      <c r="A868">
        <v>1867</v>
      </c>
      <c r="B868" t="s">
        <v>908</v>
      </c>
      <c r="C868" t="s">
        <v>2042</v>
      </c>
      <c r="D868" t="s">
        <v>15</v>
      </c>
      <c r="E868" t="s">
        <v>20</v>
      </c>
      <c r="F868" t="s">
        <v>24</v>
      </c>
      <c r="G868">
        <v>57</v>
      </c>
      <c r="H868" s="13">
        <v>92914</v>
      </c>
      <c r="I868" s="13">
        <v>22502</v>
      </c>
      <c r="J868" t="s">
        <v>25</v>
      </c>
      <c r="K868" s="13">
        <f>HR_Data[[#This Row],[Salary]]+HR_Data[[#This Row],[Bonus]]</f>
        <v>115416</v>
      </c>
    </row>
    <row r="869" spans="1:11" x14ac:dyDescent="0.25">
      <c r="A869">
        <v>1868</v>
      </c>
      <c r="B869" t="s">
        <v>909</v>
      </c>
      <c r="C869" t="s">
        <v>8</v>
      </c>
      <c r="D869" t="s">
        <v>15</v>
      </c>
      <c r="E869" t="s">
        <v>18</v>
      </c>
      <c r="F869" t="s">
        <v>22</v>
      </c>
      <c r="G869">
        <v>48</v>
      </c>
      <c r="H869" s="13">
        <v>75833</v>
      </c>
      <c r="I869" s="13">
        <v>20285</v>
      </c>
      <c r="J869" t="s">
        <v>25</v>
      </c>
      <c r="K869" s="13">
        <f>HR_Data[[#This Row],[Salary]]+HR_Data[[#This Row],[Bonus]]</f>
        <v>96118</v>
      </c>
    </row>
    <row r="870" spans="1:11" x14ac:dyDescent="0.25">
      <c r="A870">
        <v>1869</v>
      </c>
      <c r="B870" t="s">
        <v>910</v>
      </c>
      <c r="C870" t="s">
        <v>10</v>
      </c>
      <c r="D870" t="s">
        <v>14</v>
      </c>
      <c r="E870" t="s">
        <v>16</v>
      </c>
      <c r="F870" t="s">
        <v>22</v>
      </c>
      <c r="G870">
        <v>23</v>
      </c>
      <c r="H870" s="13">
        <v>40140</v>
      </c>
      <c r="I870" s="13">
        <v>12631</v>
      </c>
      <c r="J870" t="s">
        <v>25</v>
      </c>
      <c r="K870" s="13">
        <f>HR_Data[[#This Row],[Salary]]+HR_Data[[#This Row],[Bonus]]</f>
        <v>52771</v>
      </c>
    </row>
    <row r="871" spans="1:11" x14ac:dyDescent="0.25">
      <c r="A871">
        <v>1870</v>
      </c>
      <c r="B871" t="s">
        <v>911</v>
      </c>
      <c r="C871" t="s">
        <v>12</v>
      </c>
      <c r="D871" t="s">
        <v>14</v>
      </c>
      <c r="E871" t="s">
        <v>19</v>
      </c>
      <c r="F871" t="s">
        <v>21</v>
      </c>
      <c r="G871">
        <v>46</v>
      </c>
      <c r="H871" s="13">
        <v>94907</v>
      </c>
      <c r="I871" s="13">
        <v>8017</v>
      </c>
      <c r="J871" t="s">
        <v>26</v>
      </c>
      <c r="K871" s="13">
        <f>HR_Data[[#This Row],[Salary]]+HR_Data[[#This Row],[Bonus]]</f>
        <v>102924</v>
      </c>
    </row>
    <row r="872" spans="1:11" x14ac:dyDescent="0.25">
      <c r="A872">
        <v>1871</v>
      </c>
      <c r="B872" t="s">
        <v>912</v>
      </c>
      <c r="C872" t="s">
        <v>10</v>
      </c>
      <c r="D872" t="s">
        <v>14</v>
      </c>
      <c r="E872" t="s">
        <v>19</v>
      </c>
      <c r="F872" t="s">
        <v>22</v>
      </c>
      <c r="G872">
        <v>30</v>
      </c>
      <c r="H872" s="13">
        <v>80653</v>
      </c>
      <c r="I872" s="13">
        <v>25725</v>
      </c>
      <c r="J872" t="s">
        <v>25</v>
      </c>
      <c r="K872" s="13">
        <f>HR_Data[[#This Row],[Salary]]+HR_Data[[#This Row],[Bonus]]</f>
        <v>106378</v>
      </c>
    </row>
    <row r="873" spans="1:11" x14ac:dyDescent="0.25">
      <c r="A873">
        <v>1872</v>
      </c>
      <c r="B873" t="s">
        <v>913</v>
      </c>
      <c r="C873" t="s">
        <v>12</v>
      </c>
      <c r="D873" t="s">
        <v>15</v>
      </c>
      <c r="E873" t="s">
        <v>19</v>
      </c>
      <c r="F873" t="s">
        <v>22</v>
      </c>
      <c r="G873">
        <v>48</v>
      </c>
      <c r="H873" s="13">
        <v>112535</v>
      </c>
      <c r="I873" s="13">
        <v>23042</v>
      </c>
      <c r="J873" t="s">
        <v>26</v>
      </c>
      <c r="K873" s="13">
        <f>HR_Data[[#This Row],[Salary]]+HR_Data[[#This Row],[Bonus]]</f>
        <v>135577</v>
      </c>
    </row>
    <row r="874" spans="1:11" x14ac:dyDescent="0.25">
      <c r="A874">
        <v>1873</v>
      </c>
      <c r="B874" t="s">
        <v>914</v>
      </c>
      <c r="C874" t="s">
        <v>8</v>
      </c>
      <c r="D874" t="s">
        <v>14</v>
      </c>
      <c r="E874" t="s">
        <v>18</v>
      </c>
      <c r="F874" t="s">
        <v>22</v>
      </c>
      <c r="G874">
        <v>22</v>
      </c>
      <c r="H874" s="13">
        <v>81521</v>
      </c>
      <c r="I874" s="13">
        <v>29762</v>
      </c>
      <c r="J874" t="s">
        <v>25</v>
      </c>
      <c r="K874" s="13">
        <f>HR_Data[[#This Row],[Salary]]+HR_Data[[#This Row],[Bonus]]</f>
        <v>111283</v>
      </c>
    </row>
    <row r="875" spans="1:11" x14ac:dyDescent="0.25">
      <c r="A875">
        <v>1874</v>
      </c>
      <c r="B875" t="s">
        <v>915</v>
      </c>
      <c r="C875" t="s">
        <v>8</v>
      </c>
      <c r="D875" t="s">
        <v>14</v>
      </c>
      <c r="E875" t="s">
        <v>20</v>
      </c>
      <c r="F875" t="s">
        <v>22</v>
      </c>
      <c r="G875">
        <v>44</v>
      </c>
      <c r="H875" s="13">
        <v>98315</v>
      </c>
      <c r="I875" s="13">
        <v>23181</v>
      </c>
      <c r="J875" t="s">
        <v>26</v>
      </c>
      <c r="K875" s="13">
        <f>HR_Data[[#This Row],[Salary]]+HR_Data[[#This Row],[Bonus]]</f>
        <v>121496</v>
      </c>
    </row>
    <row r="876" spans="1:11" x14ac:dyDescent="0.25">
      <c r="A876">
        <v>1875</v>
      </c>
      <c r="B876" t="s">
        <v>916</v>
      </c>
      <c r="C876" t="s">
        <v>2042</v>
      </c>
      <c r="D876" t="s">
        <v>14</v>
      </c>
      <c r="E876" t="s">
        <v>16</v>
      </c>
      <c r="F876" t="s">
        <v>24</v>
      </c>
      <c r="G876">
        <v>31</v>
      </c>
      <c r="H876" s="13">
        <v>51075</v>
      </c>
      <c r="I876" s="13">
        <v>5784</v>
      </c>
      <c r="J876" t="s">
        <v>25</v>
      </c>
      <c r="K876" s="13">
        <f>HR_Data[[#This Row],[Salary]]+HR_Data[[#This Row],[Bonus]]</f>
        <v>56859</v>
      </c>
    </row>
    <row r="877" spans="1:11" x14ac:dyDescent="0.25">
      <c r="A877">
        <v>1876</v>
      </c>
      <c r="B877" t="s">
        <v>917</v>
      </c>
      <c r="C877" t="s">
        <v>10</v>
      </c>
      <c r="D877" t="s">
        <v>15</v>
      </c>
      <c r="E877" t="s">
        <v>17</v>
      </c>
      <c r="F877" t="s">
        <v>23</v>
      </c>
      <c r="G877">
        <v>46</v>
      </c>
      <c r="H877" s="13">
        <v>50697</v>
      </c>
      <c r="I877" s="13">
        <v>10691</v>
      </c>
      <c r="J877" t="s">
        <v>25</v>
      </c>
      <c r="K877" s="13">
        <f>HR_Data[[#This Row],[Salary]]+HR_Data[[#This Row],[Bonus]]</f>
        <v>61388</v>
      </c>
    </row>
    <row r="878" spans="1:11" x14ac:dyDescent="0.25">
      <c r="A878">
        <v>1877</v>
      </c>
      <c r="B878" t="s">
        <v>918</v>
      </c>
      <c r="C878" t="s">
        <v>11</v>
      </c>
      <c r="D878" t="s">
        <v>15</v>
      </c>
      <c r="E878" t="s">
        <v>20</v>
      </c>
      <c r="F878" t="s">
        <v>21</v>
      </c>
      <c r="G878">
        <v>24</v>
      </c>
      <c r="H878" s="13">
        <v>74544</v>
      </c>
      <c r="I878" s="13">
        <v>20765</v>
      </c>
      <c r="J878" t="s">
        <v>25</v>
      </c>
      <c r="K878" s="13">
        <f>HR_Data[[#This Row],[Salary]]+HR_Data[[#This Row],[Bonus]]</f>
        <v>95309</v>
      </c>
    </row>
    <row r="879" spans="1:11" x14ac:dyDescent="0.25">
      <c r="A879">
        <v>1878</v>
      </c>
      <c r="B879" t="s">
        <v>919</v>
      </c>
      <c r="C879" t="s">
        <v>2042</v>
      </c>
      <c r="D879" t="s">
        <v>14</v>
      </c>
      <c r="E879" t="s">
        <v>18</v>
      </c>
      <c r="F879" t="s">
        <v>22</v>
      </c>
      <c r="G879">
        <v>27</v>
      </c>
      <c r="H879" s="13">
        <v>29795</v>
      </c>
      <c r="I879" s="13">
        <v>8196</v>
      </c>
      <c r="J879" t="s">
        <v>26</v>
      </c>
      <c r="K879" s="13">
        <f>HR_Data[[#This Row],[Salary]]+HR_Data[[#This Row],[Bonus]]</f>
        <v>37991</v>
      </c>
    </row>
    <row r="880" spans="1:11" x14ac:dyDescent="0.25">
      <c r="A880">
        <v>1879</v>
      </c>
      <c r="B880" t="s">
        <v>920</v>
      </c>
      <c r="C880" t="s">
        <v>10</v>
      </c>
      <c r="D880" t="s">
        <v>14</v>
      </c>
      <c r="E880" t="s">
        <v>20</v>
      </c>
      <c r="F880" t="s">
        <v>22</v>
      </c>
      <c r="G880">
        <v>27</v>
      </c>
      <c r="H880" s="13">
        <v>84555</v>
      </c>
      <c r="I880" s="13">
        <v>14552</v>
      </c>
      <c r="J880" t="s">
        <v>25</v>
      </c>
      <c r="K880" s="13">
        <f>HR_Data[[#This Row],[Salary]]+HR_Data[[#This Row],[Bonus]]</f>
        <v>99107</v>
      </c>
    </row>
    <row r="881" spans="1:11" x14ac:dyDescent="0.25">
      <c r="A881">
        <v>1880</v>
      </c>
      <c r="B881" t="s">
        <v>921</v>
      </c>
      <c r="C881" t="s">
        <v>2042</v>
      </c>
      <c r="D881" t="s">
        <v>15</v>
      </c>
      <c r="E881" t="s">
        <v>20</v>
      </c>
      <c r="F881" t="s">
        <v>24</v>
      </c>
      <c r="G881">
        <v>23</v>
      </c>
      <c r="H881" s="13">
        <v>72204</v>
      </c>
      <c r="I881" s="13">
        <v>13532</v>
      </c>
      <c r="J881" t="s">
        <v>26</v>
      </c>
      <c r="K881" s="13">
        <f>HR_Data[[#This Row],[Salary]]+HR_Data[[#This Row],[Bonus]]</f>
        <v>85736</v>
      </c>
    </row>
    <row r="882" spans="1:11" x14ac:dyDescent="0.25">
      <c r="A882">
        <v>1881</v>
      </c>
      <c r="B882" t="s">
        <v>922</v>
      </c>
      <c r="C882" t="s">
        <v>11</v>
      </c>
      <c r="D882" t="s">
        <v>15</v>
      </c>
      <c r="E882" t="s">
        <v>18</v>
      </c>
      <c r="F882" t="s">
        <v>23</v>
      </c>
      <c r="G882">
        <v>39</v>
      </c>
      <c r="H882" s="13">
        <v>89754</v>
      </c>
      <c r="I882" s="13">
        <v>21946</v>
      </c>
      <c r="J882" t="s">
        <v>25</v>
      </c>
      <c r="K882" s="13">
        <f>HR_Data[[#This Row],[Salary]]+HR_Data[[#This Row],[Bonus]]</f>
        <v>111700</v>
      </c>
    </row>
    <row r="883" spans="1:11" x14ac:dyDescent="0.25">
      <c r="A883">
        <v>1882</v>
      </c>
      <c r="B883" t="s">
        <v>923</v>
      </c>
      <c r="C883" t="s">
        <v>9</v>
      </c>
      <c r="D883" t="s">
        <v>15</v>
      </c>
      <c r="E883" t="s">
        <v>19</v>
      </c>
      <c r="F883" t="s">
        <v>22</v>
      </c>
      <c r="G883">
        <v>44</v>
      </c>
      <c r="H883" s="13">
        <v>84860</v>
      </c>
      <c r="I883" s="13">
        <v>9746</v>
      </c>
      <c r="J883" t="s">
        <v>25</v>
      </c>
      <c r="K883" s="13">
        <f>HR_Data[[#This Row],[Salary]]+HR_Data[[#This Row],[Bonus]]</f>
        <v>94606</v>
      </c>
    </row>
    <row r="884" spans="1:11" x14ac:dyDescent="0.25">
      <c r="A884">
        <v>1883</v>
      </c>
      <c r="B884" t="s">
        <v>924</v>
      </c>
      <c r="C884" t="s">
        <v>9</v>
      </c>
      <c r="D884" t="s">
        <v>15</v>
      </c>
      <c r="E884" t="s">
        <v>19</v>
      </c>
      <c r="F884" t="s">
        <v>24</v>
      </c>
      <c r="G884">
        <v>23</v>
      </c>
      <c r="H884" s="13">
        <v>71529</v>
      </c>
      <c r="I884" s="13">
        <v>7999</v>
      </c>
      <c r="J884" t="s">
        <v>25</v>
      </c>
      <c r="K884" s="13">
        <f>HR_Data[[#This Row],[Salary]]+HR_Data[[#This Row],[Bonus]]</f>
        <v>79528</v>
      </c>
    </row>
    <row r="885" spans="1:11" x14ac:dyDescent="0.25">
      <c r="A885">
        <v>1884</v>
      </c>
      <c r="B885" t="s">
        <v>925</v>
      </c>
      <c r="C885" t="s">
        <v>9</v>
      </c>
      <c r="D885" t="s">
        <v>15</v>
      </c>
      <c r="E885" t="s">
        <v>16</v>
      </c>
      <c r="F885" t="s">
        <v>21</v>
      </c>
      <c r="G885">
        <v>33</v>
      </c>
      <c r="H885" s="13">
        <v>31672</v>
      </c>
      <c r="I885" s="13">
        <v>22577</v>
      </c>
      <c r="J885" t="s">
        <v>25</v>
      </c>
      <c r="K885" s="13">
        <f>HR_Data[[#This Row],[Salary]]+HR_Data[[#This Row],[Bonus]]</f>
        <v>54249</v>
      </c>
    </row>
    <row r="886" spans="1:11" x14ac:dyDescent="0.25">
      <c r="A886">
        <v>1885</v>
      </c>
      <c r="B886" t="s">
        <v>926</v>
      </c>
      <c r="C886" t="s">
        <v>9</v>
      </c>
      <c r="D886" t="s">
        <v>15</v>
      </c>
      <c r="E886" t="s">
        <v>16</v>
      </c>
      <c r="F886" t="s">
        <v>21</v>
      </c>
      <c r="G886">
        <v>43</v>
      </c>
      <c r="H886" s="13">
        <v>74238</v>
      </c>
      <c r="I886" s="13">
        <v>16302</v>
      </c>
      <c r="J886" t="s">
        <v>26</v>
      </c>
      <c r="K886" s="13">
        <f>HR_Data[[#This Row],[Salary]]+HR_Data[[#This Row],[Bonus]]</f>
        <v>90540</v>
      </c>
    </row>
    <row r="887" spans="1:11" x14ac:dyDescent="0.25">
      <c r="A887">
        <v>1886</v>
      </c>
      <c r="B887" t="s">
        <v>927</v>
      </c>
      <c r="C887" t="s">
        <v>12</v>
      </c>
      <c r="D887" t="s">
        <v>15</v>
      </c>
      <c r="E887" t="s">
        <v>19</v>
      </c>
      <c r="F887" t="s">
        <v>22</v>
      </c>
      <c r="G887">
        <v>58</v>
      </c>
      <c r="H887" s="13">
        <v>116578</v>
      </c>
      <c r="I887" s="13">
        <v>21452</v>
      </c>
      <c r="J887" t="s">
        <v>25</v>
      </c>
      <c r="K887" s="13">
        <f>HR_Data[[#This Row],[Salary]]+HR_Data[[#This Row],[Bonus]]</f>
        <v>138030</v>
      </c>
    </row>
    <row r="888" spans="1:11" x14ac:dyDescent="0.25">
      <c r="A888">
        <v>1887</v>
      </c>
      <c r="B888" t="s">
        <v>928</v>
      </c>
      <c r="C888" t="s">
        <v>9</v>
      </c>
      <c r="D888" t="s">
        <v>15</v>
      </c>
      <c r="E888" t="s">
        <v>17</v>
      </c>
      <c r="F888" t="s">
        <v>22</v>
      </c>
      <c r="G888">
        <v>41</v>
      </c>
      <c r="H888" s="13">
        <v>55950</v>
      </c>
      <c r="I888" s="13">
        <v>20595</v>
      </c>
      <c r="J888" t="s">
        <v>25</v>
      </c>
      <c r="K888" s="13">
        <f>HR_Data[[#This Row],[Salary]]+HR_Data[[#This Row],[Bonus]]</f>
        <v>76545</v>
      </c>
    </row>
    <row r="889" spans="1:11" x14ac:dyDescent="0.25">
      <c r="A889">
        <v>1888</v>
      </c>
      <c r="B889" t="s">
        <v>929</v>
      </c>
      <c r="C889" t="s">
        <v>11</v>
      </c>
      <c r="D889" t="s">
        <v>15</v>
      </c>
      <c r="E889" t="s">
        <v>20</v>
      </c>
      <c r="F889" t="s">
        <v>23</v>
      </c>
      <c r="G889">
        <v>45</v>
      </c>
      <c r="H889" s="13">
        <v>31009</v>
      </c>
      <c r="I889" s="13">
        <v>27063</v>
      </c>
      <c r="J889" t="s">
        <v>25</v>
      </c>
      <c r="K889" s="13">
        <f>HR_Data[[#This Row],[Salary]]+HR_Data[[#This Row],[Bonus]]</f>
        <v>58072</v>
      </c>
    </row>
    <row r="890" spans="1:11" x14ac:dyDescent="0.25">
      <c r="A890">
        <v>1889</v>
      </c>
      <c r="B890" t="s">
        <v>930</v>
      </c>
      <c r="C890" t="s">
        <v>8</v>
      </c>
      <c r="D890" t="s">
        <v>14</v>
      </c>
      <c r="E890" t="s">
        <v>17</v>
      </c>
      <c r="F890" t="s">
        <v>23</v>
      </c>
      <c r="G890">
        <v>41</v>
      </c>
      <c r="H890" s="13">
        <v>67096</v>
      </c>
      <c r="I890" s="13">
        <v>23812</v>
      </c>
      <c r="J890" t="s">
        <v>25</v>
      </c>
      <c r="K890" s="13">
        <f>HR_Data[[#This Row],[Salary]]+HR_Data[[#This Row],[Bonus]]</f>
        <v>90908</v>
      </c>
    </row>
    <row r="891" spans="1:11" x14ac:dyDescent="0.25">
      <c r="A891">
        <v>1890</v>
      </c>
      <c r="B891" t="s">
        <v>931</v>
      </c>
      <c r="C891" t="s">
        <v>8</v>
      </c>
      <c r="D891" t="s">
        <v>14</v>
      </c>
      <c r="E891" t="s">
        <v>20</v>
      </c>
      <c r="F891" t="s">
        <v>22</v>
      </c>
      <c r="G891">
        <v>22</v>
      </c>
      <c r="H891" s="13">
        <v>39544</v>
      </c>
      <c r="I891" s="13">
        <v>11200</v>
      </c>
      <c r="J891" t="s">
        <v>25</v>
      </c>
      <c r="K891" s="13">
        <f>HR_Data[[#This Row],[Salary]]+HR_Data[[#This Row],[Bonus]]</f>
        <v>50744</v>
      </c>
    </row>
    <row r="892" spans="1:11" x14ac:dyDescent="0.25">
      <c r="A892">
        <v>1891</v>
      </c>
      <c r="B892" t="s">
        <v>932</v>
      </c>
      <c r="C892" t="s">
        <v>27</v>
      </c>
      <c r="D892" t="s">
        <v>14</v>
      </c>
      <c r="E892" t="s">
        <v>19</v>
      </c>
      <c r="F892" t="s">
        <v>24</v>
      </c>
      <c r="G892">
        <v>22</v>
      </c>
      <c r="H892" s="13">
        <v>75728</v>
      </c>
      <c r="I892" s="13">
        <v>10396</v>
      </c>
      <c r="J892" t="s">
        <v>26</v>
      </c>
      <c r="K892" s="13">
        <f>HR_Data[[#This Row],[Salary]]+HR_Data[[#This Row],[Bonus]]</f>
        <v>86124</v>
      </c>
    </row>
    <row r="893" spans="1:11" x14ac:dyDescent="0.25">
      <c r="A893">
        <v>1892</v>
      </c>
      <c r="B893" t="s">
        <v>933</v>
      </c>
      <c r="C893" t="s">
        <v>9</v>
      </c>
      <c r="D893" t="s">
        <v>15</v>
      </c>
      <c r="E893" t="s">
        <v>16</v>
      </c>
      <c r="F893" t="s">
        <v>23</v>
      </c>
      <c r="G893">
        <v>38</v>
      </c>
      <c r="H893" s="13">
        <v>49381</v>
      </c>
      <c r="I893" s="13">
        <v>28377</v>
      </c>
      <c r="J893" t="s">
        <v>25</v>
      </c>
      <c r="K893" s="13">
        <f>HR_Data[[#This Row],[Salary]]+HR_Data[[#This Row],[Bonus]]</f>
        <v>77758</v>
      </c>
    </row>
    <row r="894" spans="1:11" x14ac:dyDescent="0.25">
      <c r="A894">
        <v>1893</v>
      </c>
      <c r="B894" t="s">
        <v>934</v>
      </c>
      <c r="C894" t="s">
        <v>9</v>
      </c>
      <c r="D894" t="s">
        <v>14</v>
      </c>
      <c r="E894" t="s">
        <v>16</v>
      </c>
      <c r="F894" t="s">
        <v>22</v>
      </c>
      <c r="G894">
        <v>22</v>
      </c>
      <c r="H894" s="13">
        <v>45287</v>
      </c>
      <c r="I894" s="13">
        <v>18410</v>
      </c>
      <c r="J894" t="s">
        <v>25</v>
      </c>
      <c r="K894" s="13">
        <f>HR_Data[[#This Row],[Salary]]+HR_Data[[#This Row],[Bonus]]</f>
        <v>63697</v>
      </c>
    </row>
    <row r="895" spans="1:11" x14ac:dyDescent="0.25">
      <c r="A895">
        <v>1894</v>
      </c>
      <c r="B895" t="s">
        <v>935</v>
      </c>
      <c r="C895" t="s">
        <v>9</v>
      </c>
      <c r="D895" t="s">
        <v>15</v>
      </c>
      <c r="E895" t="s">
        <v>17</v>
      </c>
      <c r="F895" t="s">
        <v>23</v>
      </c>
      <c r="G895">
        <v>51</v>
      </c>
      <c r="H895" s="13">
        <v>84610</v>
      </c>
      <c r="I895" s="13">
        <v>18203</v>
      </c>
      <c r="J895" t="s">
        <v>25</v>
      </c>
      <c r="K895" s="13">
        <f>HR_Data[[#This Row],[Salary]]+HR_Data[[#This Row],[Bonus]]</f>
        <v>102813</v>
      </c>
    </row>
    <row r="896" spans="1:11" x14ac:dyDescent="0.25">
      <c r="A896">
        <v>1895</v>
      </c>
      <c r="B896" t="s">
        <v>936</v>
      </c>
      <c r="C896" t="s">
        <v>2042</v>
      </c>
      <c r="D896" t="s">
        <v>15</v>
      </c>
      <c r="E896" t="s">
        <v>16</v>
      </c>
      <c r="F896" t="s">
        <v>22</v>
      </c>
      <c r="G896">
        <v>24</v>
      </c>
      <c r="H896" s="13">
        <v>88122</v>
      </c>
      <c r="I896" s="13">
        <v>8598</v>
      </c>
      <c r="J896" t="s">
        <v>25</v>
      </c>
      <c r="K896" s="13">
        <f>HR_Data[[#This Row],[Salary]]+HR_Data[[#This Row],[Bonus]]</f>
        <v>96720</v>
      </c>
    </row>
    <row r="897" spans="1:11" x14ac:dyDescent="0.25">
      <c r="A897">
        <v>1896</v>
      </c>
      <c r="B897" t="s">
        <v>937</v>
      </c>
      <c r="C897" t="s">
        <v>10</v>
      </c>
      <c r="D897" t="s">
        <v>14</v>
      </c>
      <c r="E897" t="s">
        <v>19</v>
      </c>
      <c r="F897" t="s">
        <v>21</v>
      </c>
      <c r="G897">
        <v>32</v>
      </c>
      <c r="H897" s="13">
        <v>88184</v>
      </c>
      <c r="I897" s="13">
        <v>15564</v>
      </c>
      <c r="J897" t="s">
        <v>25</v>
      </c>
      <c r="K897" s="13">
        <f>HR_Data[[#This Row],[Salary]]+HR_Data[[#This Row],[Bonus]]</f>
        <v>103748</v>
      </c>
    </row>
    <row r="898" spans="1:11" x14ac:dyDescent="0.25">
      <c r="A898">
        <v>1897</v>
      </c>
      <c r="B898" t="s">
        <v>938</v>
      </c>
      <c r="C898" t="s">
        <v>2042</v>
      </c>
      <c r="D898" t="s">
        <v>15</v>
      </c>
      <c r="E898" t="s">
        <v>17</v>
      </c>
      <c r="F898" t="s">
        <v>22</v>
      </c>
      <c r="G898">
        <v>45</v>
      </c>
      <c r="H898" s="13">
        <v>60081</v>
      </c>
      <c r="I898" s="13">
        <v>17748</v>
      </c>
      <c r="J898" t="s">
        <v>26</v>
      </c>
      <c r="K898" s="13">
        <f>HR_Data[[#This Row],[Salary]]+HR_Data[[#This Row],[Bonus]]</f>
        <v>77829</v>
      </c>
    </row>
    <row r="899" spans="1:11" x14ac:dyDescent="0.25">
      <c r="A899">
        <v>1898</v>
      </c>
      <c r="B899" t="s">
        <v>939</v>
      </c>
      <c r="C899" t="s">
        <v>10</v>
      </c>
      <c r="D899" t="s">
        <v>14</v>
      </c>
      <c r="E899" t="s">
        <v>20</v>
      </c>
      <c r="F899" t="s">
        <v>21</v>
      </c>
      <c r="G899">
        <v>43</v>
      </c>
      <c r="H899" s="13">
        <v>103637</v>
      </c>
      <c r="I899" s="13">
        <v>21957</v>
      </c>
      <c r="J899" t="s">
        <v>25</v>
      </c>
      <c r="K899" s="13">
        <f>HR_Data[[#This Row],[Salary]]+HR_Data[[#This Row],[Bonus]]</f>
        <v>125594</v>
      </c>
    </row>
    <row r="900" spans="1:11" x14ac:dyDescent="0.25">
      <c r="A900">
        <v>1899</v>
      </c>
      <c r="B900" t="s">
        <v>940</v>
      </c>
      <c r="C900" t="s">
        <v>9</v>
      </c>
      <c r="D900" t="s">
        <v>14</v>
      </c>
      <c r="E900" t="s">
        <v>16</v>
      </c>
      <c r="F900" t="s">
        <v>23</v>
      </c>
      <c r="G900">
        <v>47</v>
      </c>
      <c r="H900" s="13">
        <v>65312</v>
      </c>
      <c r="I900" s="13">
        <v>25598</v>
      </c>
      <c r="J900" t="s">
        <v>25</v>
      </c>
      <c r="K900" s="13">
        <f>HR_Data[[#This Row],[Salary]]+HR_Data[[#This Row],[Bonus]]</f>
        <v>90910</v>
      </c>
    </row>
    <row r="901" spans="1:11" x14ac:dyDescent="0.25">
      <c r="A901">
        <v>1900</v>
      </c>
      <c r="B901" t="s">
        <v>941</v>
      </c>
      <c r="C901" t="s">
        <v>9</v>
      </c>
      <c r="D901" t="s">
        <v>14</v>
      </c>
      <c r="E901" t="s">
        <v>18</v>
      </c>
      <c r="F901" t="s">
        <v>22</v>
      </c>
      <c r="G901">
        <v>34</v>
      </c>
      <c r="H901" s="13">
        <v>107228</v>
      </c>
      <c r="I901" s="13">
        <v>12636</v>
      </c>
      <c r="J901" t="s">
        <v>25</v>
      </c>
      <c r="K901" s="13">
        <f>HR_Data[[#This Row],[Salary]]+HR_Data[[#This Row],[Bonus]]</f>
        <v>119864</v>
      </c>
    </row>
    <row r="902" spans="1:11" x14ac:dyDescent="0.25">
      <c r="A902">
        <v>1901</v>
      </c>
      <c r="B902" t="s">
        <v>942</v>
      </c>
      <c r="C902" t="s">
        <v>2042</v>
      </c>
      <c r="D902" t="s">
        <v>15</v>
      </c>
      <c r="E902" t="s">
        <v>16</v>
      </c>
      <c r="F902" t="s">
        <v>23</v>
      </c>
      <c r="G902">
        <v>22</v>
      </c>
      <c r="H902" s="13">
        <v>92943</v>
      </c>
      <c r="I902" s="13">
        <v>22862</v>
      </c>
      <c r="J902" t="s">
        <v>25</v>
      </c>
      <c r="K902" s="13">
        <f>HR_Data[[#This Row],[Salary]]+HR_Data[[#This Row],[Bonus]]</f>
        <v>115805</v>
      </c>
    </row>
    <row r="903" spans="1:11" x14ac:dyDescent="0.25">
      <c r="A903">
        <v>1902</v>
      </c>
      <c r="B903" t="s">
        <v>943</v>
      </c>
      <c r="C903" t="s">
        <v>2042</v>
      </c>
      <c r="D903" t="s">
        <v>14</v>
      </c>
      <c r="E903" t="s">
        <v>20</v>
      </c>
      <c r="F903" t="s">
        <v>21</v>
      </c>
      <c r="G903">
        <v>45</v>
      </c>
      <c r="H903" s="13">
        <v>102790</v>
      </c>
      <c r="I903" s="13">
        <v>15265</v>
      </c>
      <c r="J903" t="s">
        <v>25</v>
      </c>
      <c r="K903" s="13">
        <f>HR_Data[[#This Row],[Salary]]+HR_Data[[#This Row],[Bonus]]</f>
        <v>118055</v>
      </c>
    </row>
    <row r="904" spans="1:11" x14ac:dyDescent="0.25">
      <c r="A904">
        <v>1903</v>
      </c>
      <c r="B904" t="s">
        <v>944</v>
      </c>
      <c r="C904" t="s">
        <v>10</v>
      </c>
      <c r="D904" t="s">
        <v>15</v>
      </c>
      <c r="E904" t="s">
        <v>17</v>
      </c>
      <c r="F904" t="s">
        <v>22</v>
      </c>
      <c r="G904">
        <v>31</v>
      </c>
      <c r="H904" s="13">
        <v>100770</v>
      </c>
      <c r="I904" s="13">
        <v>14705</v>
      </c>
      <c r="J904" t="s">
        <v>25</v>
      </c>
      <c r="K904" s="13">
        <f>HR_Data[[#This Row],[Salary]]+HR_Data[[#This Row],[Bonus]]</f>
        <v>115475</v>
      </c>
    </row>
    <row r="905" spans="1:11" x14ac:dyDescent="0.25">
      <c r="A905">
        <v>1904</v>
      </c>
      <c r="B905" t="s">
        <v>945</v>
      </c>
      <c r="C905" t="s">
        <v>8</v>
      </c>
      <c r="D905" t="s">
        <v>14</v>
      </c>
      <c r="E905" t="s">
        <v>20</v>
      </c>
      <c r="F905" t="s">
        <v>23</v>
      </c>
      <c r="G905">
        <v>56</v>
      </c>
      <c r="H905" s="13">
        <v>72726</v>
      </c>
      <c r="I905" s="13">
        <v>27511</v>
      </c>
      <c r="J905" t="s">
        <v>25</v>
      </c>
      <c r="K905" s="13">
        <f>HR_Data[[#This Row],[Salary]]+HR_Data[[#This Row],[Bonus]]</f>
        <v>100237</v>
      </c>
    </row>
    <row r="906" spans="1:11" x14ac:dyDescent="0.25">
      <c r="A906">
        <v>1905</v>
      </c>
      <c r="B906" t="s">
        <v>946</v>
      </c>
      <c r="C906" t="s">
        <v>10</v>
      </c>
      <c r="D906" t="s">
        <v>14</v>
      </c>
      <c r="E906" t="s">
        <v>18</v>
      </c>
      <c r="F906" t="s">
        <v>21</v>
      </c>
      <c r="G906">
        <v>45</v>
      </c>
      <c r="H906" s="13">
        <v>69554.53</v>
      </c>
      <c r="I906" s="13">
        <v>19298</v>
      </c>
      <c r="J906" t="s">
        <v>26</v>
      </c>
      <c r="K906" s="13">
        <f>HR_Data[[#This Row],[Salary]]+HR_Data[[#This Row],[Bonus]]</f>
        <v>88852.53</v>
      </c>
    </row>
    <row r="907" spans="1:11" x14ac:dyDescent="0.25">
      <c r="A907">
        <v>1906</v>
      </c>
      <c r="B907" t="s">
        <v>947</v>
      </c>
      <c r="C907" t="s">
        <v>2042</v>
      </c>
      <c r="D907" t="s">
        <v>14</v>
      </c>
      <c r="E907" t="s">
        <v>19</v>
      </c>
      <c r="F907" t="s">
        <v>23</v>
      </c>
      <c r="G907">
        <v>49</v>
      </c>
      <c r="H907" s="13">
        <v>49480</v>
      </c>
      <c r="I907" s="13">
        <v>28060</v>
      </c>
      <c r="J907" t="s">
        <v>25</v>
      </c>
      <c r="K907" s="13">
        <f>HR_Data[[#This Row],[Salary]]+HR_Data[[#This Row],[Bonus]]</f>
        <v>77540</v>
      </c>
    </row>
    <row r="908" spans="1:11" x14ac:dyDescent="0.25">
      <c r="A908">
        <v>1907</v>
      </c>
      <c r="B908" t="s">
        <v>948</v>
      </c>
      <c r="C908" t="s">
        <v>11</v>
      </c>
      <c r="D908" t="s">
        <v>15</v>
      </c>
      <c r="E908" t="s">
        <v>16</v>
      </c>
      <c r="F908" t="s">
        <v>24</v>
      </c>
      <c r="G908">
        <v>57</v>
      </c>
      <c r="H908" s="13">
        <v>67780</v>
      </c>
      <c r="I908" s="13">
        <v>23580</v>
      </c>
      <c r="J908" t="s">
        <v>25</v>
      </c>
      <c r="K908" s="13">
        <f>HR_Data[[#This Row],[Salary]]+HR_Data[[#This Row],[Bonus]]</f>
        <v>91360</v>
      </c>
    </row>
    <row r="909" spans="1:11" x14ac:dyDescent="0.25">
      <c r="A909">
        <v>1908</v>
      </c>
      <c r="B909" t="s">
        <v>949</v>
      </c>
      <c r="C909" t="s">
        <v>2042</v>
      </c>
      <c r="D909" t="s">
        <v>15</v>
      </c>
      <c r="E909" t="s">
        <v>17</v>
      </c>
      <c r="F909" t="s">
        <v>21</v>
      </c>
      <c r="G909">
        <v>37</v>
      </c>
      <c r="H909" s="13">
        <v>77138</v>
      </c>
      <c r="I909" s="13">
        <v>14703</v>
      </c>
      <c r="J909" t="s">
        <v>25</v>
      </c>
      <c r="K909" s="13">
        <f>HR_Data[[#This Row],[Salary]]+HR_Data[[#This Row],[Bonus]]</f>
        <v>91841</v>
      </c>
    </row>
    <row r="910" spans="1:11" x14ac:dyDescent="0.25">
      <c r="A910">
        <v>1909</v>
      </c>
      <c r="B910" t="s">
        <v>950</v>
      </c>
      <c r="C910" t="s">
        <v>8</v>
      </c>
      <c r="D910" t="s">
        <v>15</v>
      </c>
      <c r="E910" t="s">
        <v>19</v>
      </c>
      <c r="F910" t="s">
        <v>21</v>
      </c>
      <c r="G910">
        <v>37</v>
      </c>
      <c r="H910" s="13">
        <v>110382</v>
      </c>
      <c r="I910" s="13">
        <v>18336</v>
      </c>
      <c r="J910" t="s">
        <v>25</v>
      </c>
      <c r="K910" s="13">
        <f>HR_Data[[#This Row],[Salary]]+HR_Data[[#This Row],[Bonus]]</f>
        <v>128718</v>
      </c>
    </row>
    <row r="911" spans="1:11" x14ac:dyDescent="0.25">
      <c r="A911">
        <v>1910</v>
      </c>
      <c r="B911" t="s">
        <v>951</v>
      </c>
      <c r="C911" t="s">
        <v>12</v>
      </c>
      <c r="D911" t="s">
        <v>14</v>
      </c>
      <c r="E911" t="s">
        <v>20</v>
      </c>
      <c r="F911" t="s">
        <v>21</v>
      </c>
      <c r="G911">
        <v>38</v>
      </c>
      <c r="H911" s="13">
        <v>62503</v>
      </c>
      <c r="I911" s="13">
        <v>13166</v>
      </c>
      <c r="J911" t="s">
        <v>25</v>
      </c>
      <c r="K911" s="13">
        <f>HR_Data[[#This Row],[Salary]]+HR_Data[[#This Row],[Bonus]]</f>
        <v>75669</v>
      </c>
    </row>
    <row r="912" spans="1:11" x14ac:dyDescent="0.25">
      <c r="A912">
        <v>1911</v>
      </c>
      <c r="B912" t="s">
        <v>952</v>
      </c>
      <c r="C912" t="s">
        <v>2042</v>
      </c>
      <c r="D912" t="s">
        <v>14</v>
      </c>
      <c r="E912" t="s">
        <v>17</v>
      </c>
      <c r="F912" t="s">
        <v>22</v>
      </c>
      <c r="G912">
        <v>36</v>
      </c>
      <c r="H912" s="13">
        <v>77893</v>
      </c>
      <c r="I912" s="13">
        <v>21116</v>
      </c>
      <c r="J912" t="s">
        <v>26</v>
      </c>
      <c r="K912" s="13">
        <f>HR_Data[[#This Row],[Salary]]+HR_Data[[#This Row],[Bonus]]</f>
        <v>99009</v>
      </c>
    </row>
    <row r="913" spans="1:11" x14ac:dyDescent="0.25">
      <c r="A913">
        <v>1912</v>
      </c>
      <c r="B913" t="s">
        <v>953</v>
      </c>
      <c r="C913" t="s">
        <v>12</v>
      </c>
      <c r="D913" t="s">
        <v>15</v>
      </c>
      <c r="E913" t="s">
        <v>19</v>
      </c>
      <c r="F913" t="s">
        <v>22</v>
      </c>
      <c r="G913">
        <v>37</v>
      </c>
      <c r="H913" s="13">
        <v>66193</v>
      </c>
      <c r="I913" s="13">
        <v>11050</v>
      </c>
      <c r="J913" t="s">
        <v>25</v>
      </c>
      <c r="K913" s="13">
        <f>HR_Data[[#This Row],[Salary]]+HR_Data[[#This Row],[Bonus]]</f>
        <v>77243</v>
      </c>
    </row>
    <row r="914" spans="1:11" x14ac:dyDescent="0.25">
      <c r="A914">
        <v>1913</v>
      </c>
      <c r="B914" t="s">
        <v>954</v>
      </c>
      <c r="C914" t="s">
        <v>8</v>
      </c>
      <c r="D914" t="s">
        <v>15</v>
      </c>
      <c r="E914" t="s">
        <v>17</v>
      </c>
      <c r="F914" t="s">
        <v>22</v>
      </c>
      <c r="G914">
        <v>36</v>
      </c>
      <c r="H914" s="13">
        <v>81358</v>
      </c>
      <c r="I914" s="13">
        <v>16184</v>
      </c>
      <c r="J914" t="s">
        <v>25</v>
      </c>
      <c r="K914" s="13">
        <f>HR_Data[[#This Row],[Salary]]+HR_Data[[#This Row],[Bonus]]</f>
        <v>97542</v>
      </c>
    </row>
    <row r="915" spans="1:11" x14ac:dyDescent="0.25">
      <c r="A915">
        <v>1914</v>
      </c>
      <c r="B915" t="s">
        <v>955</v>
      </c>
      <c r="C915" t="s">
        <v>10</v>
      </c>
      <c r="D915" t="s">
        <v>15</v>
      </c>
      <c r="E915" t="s">
        <v>18</v>
      </c>
      <c r="F915" t="s">
        <v>24</v>
      </c>
      <c r="G915">
        <v>55</v>
      </c>
      <c r="H915" s="13">
        <v>100857</v>
      </c>
      <c r="I915" s="13">
        <v>26034</v>
      </c>
      <c r="J915" t="s">
        <v>25</v>
      </c>
      <c r="K915" s="13">
        <f>HR_Data[[#This Row],[Salary]]+HR_Data[[#This Row],[Bonus]]</f>
        <v>126891</v>
      </c>
    </row>
    <row r="916" spans="1:11" x14ac:dyDescent="0.25">
      <c r="A916">
        <v>1915</v>
      </c>
      <c r="B916" t="s">
        <v>956</v>
      </c>
      <c r="C916" t="s">
        <v>11</v>
      </c>
      <c r="D916" t="s">
        <v>15</v>
      </c>
      <c r="E916" t="s">
        <v>18</v>
      </c>
      <c r="F916" t="s">
        <v>24</v>
      </c>
      <c r="G916">
        <v>32</v>
      </c>
      <c r="H916" s="13">
        <v>98182</v>
      </c>
      <c r="I916" s="13">
        <v>17712</v>
      </c>
      <c r="J916" t="s">
        <v>25</v>
      </c>
      <c r="K916" s="13">
        <f>HR_Data[[#This Row],[Salary]]+HR_Data[[#This Row],[Bonus]]</f>
        <v>115894</v>
      </c>
    </row>
    <row r="917" spans="1:11" x14ac:dyDescent="0.25">
      <c r="A917">
        <v>1916</v>
      </c>
      <c r="B917" t="s">
        <v>957</v>
      </c>
      <c r="C917" t="s">
        <v>10</v>
      </c>
      <c r="D917" t="s">
        <v>15</v>
      </c>
      <c r="E917" t="s">
        <v>16</v>
      </c>
      <c r="F917" t="s">
        <v>21</v>
      </c>
      <c r="G917">
        <v>22</v>
      </c>
      <c r="H917" s="13">
        <v>42117</v>
      </c>
      <c r="I917" s="13">
        <v>13484</v>
      </c>
      <c r="J917" t="s">
        <v>25</v>
      </c>
      <c r="K917" s="13">
        <f>HR_Data[[#This Row],[Salary]]+HR_Data[[#This Row],[Bonus]]</f>
        <v>55601</v>
      </c>
    </row>
    <row r="918" spans="1:11" x14ac:dyDescent="0.25">
      <c r="A918">
        <v>1917</v>
      </c>
      <c r="B918" t="s">
        <v>958</v>
      </c>
      <c r="C918" t="s">
        <v>12</v>
      </c>
      <c r="D918" t="s">
        <v>15</v>
      </c>
      <c r="E918" t="s">
        <v>16</v>
      </c>
      <c r="F918" t="s">
        <v>24</v>
      </c>
      <c r="G918">
        <v>36</v>
      </c>
      <c r="H918" s="13">
        <v>79056</v>
      </c>
      <c r="I918" s="13">
        <v>25910</v>
      </c>
      <c r="J918" t="s">
        <v>26</v>
      </c>
      <c r="K918" s="13">
        <f>HR_Data[[#This Row],[Salary]]+HR_Data[[#This Row],[Bonus]]</f>
        <v>104966</v>
      </c>
    </row>
    <row r="919" spans="1:11" x14ac:dyDescent="0.25">
      <c r="A919">
        <v>1918</v>
      </c>
      <c r="B919" t="s">
        <v>959</v>
      </c>
      <c r="C919" t="s">
        <v>11</v>
      </c>
      <c r="D919" t="s">
        <v>14</v>
      </c>
      <c r="E919" t="s">
        <v>18</v>
      </c>
      <c r="F919" t="s">
        <v>23</v>
      </c>
      <c r="G919">
        <v>47</v>
      </c>
      <c r="H919" s="13">
        <v>78706</v>
      </c>
      <c r="I919" s="13">
        <v>25796</v>
      </c>
      <c r="J919" t="s">
        <v>25</v>
      </c>
      <c r="K919" s="13">
        <f>HR_Data[[#This Row],[Salary]]+HR_Data[[#This Row],[Bonus]]</f>
        <v>104502</v>
      </c>
    </row>
    <row r="920" spans="1:11" x14ac:dyDescent="0.25">
      <c r="A920">
        <v>1919</v>
      </c>
      <c r="B920" t="s">
        <v>960</v>
      </c>
      <c r="C920" t="s">
        <v>10</v>
      </c>
      <c r="D920" t="s">
        <v>15</v>
      </c>
      <c r="E920" t="s">
        <v>17</v>
      </c>
      <c r="F920" t="s">
        <v>21</v>
      </c>
      <c r="G920">
        <v>25</v>
      </c>
      <c r="H920" s="13">
        <v>90429</v>
      </c>
      <c r="I920" s="13">
        <v>26827</v>
      </c>
      <c r="J920" t="s">
        <v>25</v>
      </c>
      <c r="K920" s="13">
        <f>HR_Data[[#This Row],[Salary]]+HR_Data[[#This Row],[Bonus]]</f>
        <v>117256</v>
      </c>
    </row>
    <row r="921" spans="1:11" x14ac:dyDescent="0.25">
      <c r="A921">
        <v>1920</v>
      </c>
      <c r="B921" t="s">
        <v>961</v>
      </c>
      <c r="C921" t="s">
        <v>2042</v>
      </c>
      <c r="D921" t="s">
        <v>14</v>
      </c>
      <c r="E921" t="s">
        <v>18</v>
      </c>
      <c r="F921" t="s">
        <v>21</v>
      </c>
      <c r="G921">
        <v>26</v>
      </c>
      <c r="H921" s="13">
        <v>29476</v>
      </c>
      <c r="I921" s="13">
        <v>7593</v>
      </c>
      <c r="J921" t="s">
        <v>25</v>
      </c>
      <c r="K921" s="13">
        <f>HR_Data[[#This Row],[Salary]]+HR_Data[[#This Row],[Bonus]]</f>
        <v>37069</v>
      </c>
    </row>
    <row r="922" spans="1:11" x14ac:dyDescent="0.25">
      <c r="A922">
        <v>1921</v>
      </c>
      <c r="B922" t="s">
        <v>962</v>
      </c>
      <c r="C922" t="s">
        <v>9</v>
      </c>
      <c r="D922" t="s">
        <v>14</v>
      </c>
      <c r="E922" t="s">
        <v>16</v>
      </c>
      <c r="F922" t="s">
        <v>23</v>
      </c>
      <c r="G922">
        <v>56</v>
      </c>
      <c r="H922" s="13">
        <v>102806</v>
      </c>
      <c r="I922" s="13">
        <v>15315</v>
      </c>
      <c r="J922" t="s">
        <v>25</v>
      </c>
      <c r="K922" s="13">
        <f>HR_Data[[#This Row],[Salary]]+HR_Data[[#This Row],[Bonus]]</f>
        <v>118121</v>
      </c>
    </row>
    <row r="923" spans="1:11" x14ac:dyDescent="0.25">
      <c r="A923">
        <v>1922</v>
      </c>
      <c r="B923" t="s">
        <v>963</v>
      </c>
      <c r="C923" t="s">
        <v>12</v>
      </c>
      <c r="D923" t="s">
        <v>15</v>
      </c>
      <c r="E923" t="s">
        <v>18</v>
      </c>
      <c r="F923" t="s">
        <v>21</v>
      </c>
      <c r="G923">
        <v>34</v>
      </c>
      <c r="H923" s="13">
        <v>75006</v>
      </c>
      <c r="I923" s="13">
        <v>20200</v>
      </c>
      <c r="J923" t="s">
        <v>25</v>
      </c>
      <c r="K923" s="13">
        <f>HR_Data[[#This Row],[Salary]]+HR_Data[[#This Row],[Bonus]]</f>
        <v>95206</v>
      </c>
    </row>
    <row r="924" spans="1:11" x14ac:dyDescent="0.25">
      <c r="A924">
        <v>1923</v>
      </c>
      <c r="B924" t="s">
        <v>964</v>
      </c>
      <c r="C924" t="s">
        <v>10</v>
      </c>
      <c r="D924" t="s">
        <v>27</v>
      </c>
      <c r="E924" t="s">
        <v>18</v>
      </c>
      <c r="F924" t="s">
        <v>24</v>
      </c>
      <c r="G924">
        <v>31</v>
      </c>
      <c r="H924" s="13">
        <v>107238</v>
      </c>
      <c r="I924" s="13">
        <v>14107</v>
      </c>
      <c r="J924" t="s">
        <v>25</v>
      </c>
      <c r="K924" s="13">
        <f>HR_Data[[#This Row],[Salary]]+HR_Data[[#This Row],[Bonus]]</f>
        <v>121345</v>
      </c>
    </row>
    <row r="925" spans="1:11" x14ac:dyDescent="0.25">
      <c r="A925">
        <v>1924</v>
      </c>
      <c r="B925" t="s">
        <v>965</v>
      </c>
      <c r="C925" t="s">
        <v>12</v>
      </c>
      <c r="D925" t="s">
        <v>14</v>
      </c>
      <c r="E925" t="s">
        <v>17</v>
      </c>
      <c r="F925" t="s">
        <v>22</v>
      </c>
      <c r="G925">
        <v>32</v>
      </c>
      <c r="H925" s="13">
        <v>89918</v>
      </c>
      <c r="I925" s="13">
        <v>28236</v>
      </c>
      <c r="J925" t="s">
        <v>25</v>
      </c>
      <c r="K925" s="13">
        <f>HR_Data[[#This Row],[Salary]]+HR_Data[[#This Row],[Bonus]]</f>
        <v>118154</v>
      </c>
    </row>
    <row r="926" spans="1:11" x14ac:dyDescent="0.25">
      <c r="A926">
        <v>1925</v>
      </c>
      <c r="B926" t="s">
        <v>966</v>
      </c>
      <c r="C926" t="s">
        <v>12</v>
      </c>
      <c r="D926" t="s">
        <v>15</v>
      </c>
      <c r="E926" t="s">
        <v>19</v>
      </c>
      <c r="F926" t="s">
        <v>23</v>
      </c>
      <c r="G926">
        <v>39</v>
      </c>
      <c r="H926" s="13">
        <v>83155</v>
      </c>
      <c r="I926" s="13">
        <v>28013</v>
      </c>
      <c r="J926" t="s">
        <v>25</v>
      </c>
      <c r="K926" s="13">
        <f>HR_Data[[#This Row],[Salary]]+HR_Data[[#This Row],[Bonus]]</f>
        <v>111168</v>
      </c>
    </row>
    <row r="927" spans="1:11" x14ac:dyDescent="0.25">
      <c r="A927">
        <v>1926</v>
      </c>
      <c r="B927" t="s">
        <v>967</v>
      </c>
      <c r="C927" t="s">
        <v>11</v>
      </c>
      <c r="D927" t="s">
        <v>15</v>
      </c>
      <c r="E927" t="s">
        <v>16</v>
      </c>
      <c r="F927" t="s">
        <v>24</v>
      </c>
      <c r="G927">
        <v>55</v>
      </c>
      <c r="H927" s="13">
        <v>87321</v>
      </c>
      <c r="I927" s="13">
        <v>8869</v>
      </c>
      <c r="J927" t="s">
        <v>25</v>
      </c>
      <c r="K927" s="13">
        <f>HR_Data[[#This Row],[Salary]]+HR_Data[[#This Row],[Bonus]]</f>
        <v>96190</v>
      </c>
    </row>
    <row r="928" spans="1:11" x14ac:dyDescent="0.25">
      <c r="A928">
        <v>1927</v>
      </c>
      <c r="B928" t="s">
        <v>968</v>
      </c>
      <c r="C928" t="s">
        <v>11</v>
      </c>
      <c r="D928" t="s">
        <v>14</v>
      </c>
      <c r="E928" t="s">
        <v>17</v>
      </c>
      <c r="F928" t="s">
        <v>23</v>
      </c>
      <c r="G928">
        <v>44</v>
      </c>
      <c r="H928" s="13">
        <v>65798</v>
      </c>
      <c r="I928" s="13">
        <v>20447</v>
      </c>
      <c r="J928" t="s">
        <v>25</v>
      </c>
      <c r="K928" s="13">
        <f>HR_Data[[#This Row],[Salary]]+HR_Data[[#This Row],[Bonus]]</f>
        <v>86245</v>
      </c>
    </row>
    <row r="929" spans="1:11" x14ac:dyDescent="0.25">
      <c r="A929">
        <v>1928</v>
      </c>
      <c r="B929" t="s">
        <v>969</v>
      </c>
      <c r="C929" t="s">
        <v>9</v>
      </c>
      <c r="D929" t="s">
        <v>14</v>
      </c>
      <c r="E929" t="s">
        <v>18</v>
      </c>
      <c r="F929" t="s">
        <v>23</v>
      </c>
      <c r="G929">
        <v>28</v>
      </c>
      <c r="H929" s="13">
        <v>97271</v>
      </c>
      <c r="I929" s="13">
        <v>12971</v>
      </c>
      <c r="J929" t="s">
        <v>25</v>
      </c>
      <c r="K929" s="13">
        <f>HR_Data[[#This Row],[Salary]]+HR_Data[[#This Row],[Bonus]]</f>
        <v>110242</v>
      </c>
    </row>
    <row r="930" spans="1:11" x14ac:dyDescent="0.25">
      <c r="A930">
        <v>1929</v>
      </c>
      <c r="B930" t="s">
        <v>970</v>
      </c>
      <c r="C930" t="s">
        <v>2042</v>
      </c>
      <c r="D930" t="s">
        <v>14</v>
      </c>
      <c r="E930" t="s">
        <v>18</v>
      </c>
      <c r="F930" t="s">
        <v>21</v>
      </c>
      <c r="G930">
        <v>24</v>
      </c>
      <c r="H930" s="13">
        <v>50177</v>
      </c>
      <c r="I930" s="13">
        <v>29206</v>
      </c>
      <c r="J930" t="s">
        <v>25</v>
      </c>
      <c r="K930" s="13">
        <f>HR_Data[[#This Row],[Salary]]+HR_Data[[#This Row],[Bonus]]</f>
        <v>79383</v>
      </c>
    </row>
    <row r="931" spans="1:11" x14ac:dyDescent="0.25">
      <c r="A931">
        <v>1930</v>
      </c>
      <c r="B931" t="s">
        <v>971</v>
      </c>
      <c r="C931" t="s">
        <v>12</v>
      </c>
      <c r="D931" t="s">
        <v>15</v>
      </c>
      <c r="E931" t="s">
        <v>19</v>
      </c>
      <c r="F931" t="s">
        <v>21</v>
      </c>
      <c r="G931">
        <v>33</v>
      </c>
      <c r="H931" s="13">
        <v>116248</v>
      </c>
      <c r="I931" s="13">
        <v>7989</v>
      </c>
      <c r="J931" t="s">
        <v>25</v>
      </c>
      <c r="K931" s="13">
        <f>HR_Data[[#This Row],[Salary]]+HR_Data[[#This Row],[Bonus]]</f>
        <v>124237</v>
      </c>
    </row>
    <row r="932" spans="1:11" x14ac:dyDescent="0.25">
      <c r="A932">
        <v>1931</v>
      </c>
      <c r="B932" t="s">
        <v>972</v>
      </c>
      <c r="C932" t="s">
        <v>10</v>
      </c>
      <c r="D932" t="s">
        <v>14</v>
      </c>
      <c r="E932" t="s">
        <v>16</v>
      </c>
      <c r="F932" t="s">
        <v>24</v>
      </c>
      <c r="G932">
        <v>28</v>
      </c>
      <c r="H932" s="13">
        <v>102215</v>
      </c>
      <c r="I932" s="13">
        <v>28446</v>
      </c>
      <c r="J932" t="s">
        <v>25</v>
      </c>
      <c r="K932" s="13">
        <f>HR_Data[[#This Row],[Salary]]+HR_Data[[#This Row],[Bonus]]</f>
        <v>130661</v>
      </c>
    </row>
    <row r="933" spans="1:11" x14ac:dyDescent="0.25">
      <c r="A933">
        <v>1932</v>
      </c>
      <c r="B933" t="s">
        <v>973</v>
      </c>
      <c r="C933" t="s">
        <v>8</v>
      </c>
      <c r="D933" t="s">
        <v>15</v>
      </c>
      <c r="E933" t="s">
        <v>16</v>
      </c>
      <c r="F933" t="s">
        <v>23</v>
      </c>
      <c r="G933">
        <v>47</v>
      </c>
      <c r="H933" s="13">
        <v>63013</v>
      </c>
      <c r="I933" s="13">
        <v>10340</v>
      </c>
      <c r="J933" t="s">
        <v>26</v>
      </c>
      <c r="K933" s="13">
        <f>HR_Data[[#This Row],[Salary]]+HR_Data[[#This Row],[Bonus]]</f>
        <v>73353</v>
      </c>
    </row>
    <row r="934" spans="1:11" x14ac:dyDescent="0.25">
      <c r="A934">
        <v>1933</v>
      </c>
      <c r="B934" t="s">
        <v>974</v>
      </c>
      <c r="C934" t="s">
        <v>12</v>
      </c>
      <c r="D934" t="s">
        <v>14</v>
      </c>
      <c r="E934" t="s">
        <v>20</v>
      </c>
      <c r="F934" t="s">
        <v>21</v>
      </c>
      <c r="G934">
        <v>54</v>
      </c>
      <c r="H934" s="13">
        <v>102600</v>
      </c>
      <c r="I934" s="13">
        <v>14643</v>
      </c>
      <c r="J934" t="s">
        <v>26</v>
      </c>
      <c r="K934" s="13">
        <f>HR_Data[[#This Row],[Salary]]+HR_Data[[#This Row],[Bonus]]</f>
        <v>117243</v>
      </c>
    </row>
    <row r="935" spans="1:11" x14ac:dyDescent="0.25">
      <c r="A935">
        <v>1934</v>
      </c>
      <c r="B935" t="s">
        <v>975</v>
      </c>
      <c r="C935" t="s">
        <v>12</v>
      </c>
      <c r="D935" t="s">
        <v>14</v>
      </c>
      <c r="E935" t="s">
        <v>16</v>
      </c>
      <c r="F935" t="s">
        <v>21</v>
      </c>
      <c r="G935">
        <v>58</v>
      </c>
      <c r="H935" s="13">
        <v>116099</v>
      </c>
      <c r="I935" s="13">
        <v>8823</v>
      </c>
      <c r="J935" t="s">
        <v>26</v>
      </c>
      <c r="K935" s="13">
        <f>HR_Data[[#This Row],[Salary]]+HR_Data[[#This Row],[Bonus]]</f>
        <v>124922</v>
      </c>
    </row>
    <row r="936" spans="1:11" x14ac:dyDescent="0.25">
      <c r="A936">
        <v>1935</v>
      </c>
      <c r="B936" t="s">
        <v>976</v>
      </c>
      <c r="C936" t="s">
        <v>9</v>
      </c>
      <c r="D936" t="s">
        <v>14</v>
      </c>
      <c r="E936" t="s">
        <v>19</v>
      </c>
      <c r="F936" t="s">
        <v>23</v>
      </c>
      <c r="G936">
        <v>36</v>
      </c>
      <c r="H936" s="13">
        <v>73450</v>
      </c>
      <c r="I936" s="13">
        <v>18454</v>
      </c>
      <c r="J936" t="s">
        <v>25</v>
      </c>
      <c r="K936" s="13">
        <f>HR_Data[[#This Row],[Salary]]+HR_Data[[#This Row],[Bonus]]</f>
        <v>91904</v>
      </c>
    </row>
    <row r="937" spans="1:11" x14ac:dyDescent="0.25">
      <c r="A937">
        <v>1936</v>
      </c>
      <c r="B937" t="s">
        <v>977</v>
      </c>
      <c r="C937" t="s">
        <v>2042</v>
      </c>
      <c r="D937" t="s">
        <v>15</v>
      </c>
      <c r="E937" t="s">
        <v>20</v>
      </c>
      <c r="F937" t="s">
        <v>24</v>
      </c>
      <c r="G937">
        <v>23</v>
      </c>
      <c r="H937" s="13">
        <v>118628</v>
      </c>
      <c r="I937" s="13">
        <v>8932</v>
      </c>
      <c r="J937" t="s">
        <v>26</v>
      </c>
      <c r="K937" s="13">
        <f>HR_Data[[#This Row],[Salary]]+HR_Data[[#This Row],[Bonus]]</f>
        <v>127560</v>
      </c>
    </row>
    <row r="938" spans="1:11" x14ac:dyDescent="0.25">
      <c r="A938">
        <v>1937</v>
      </c>
      <c r="B938" t="s">
        <v>978</v>
      </c>
      <c r="C938" t="s">
        <v>8</v>
      </c>
      <c r="D938" t="s">
        <v>15</v>
      </c>
      <c r="E938" t="s">
        <v>20</v>
      </c>
      <c r="F938" t="s">
        <v>24</v>
      </c>
      <c r="G938">
        <v>28</v>
      </c>
      <c r="H938" s="13">
        <v>67928</v>
      </c>
      <c r="I938" s="13">
        <v>15220</v>
      </c>
      <c r="J938" t="s">
        <v>26</v>
      </c>
      <c r="K938" s="13">
        <f>HR_Data[[#This Row],[Salary]]+HR_Data[[#This Row],[Bonus]]</f>
        <v>83148</v>
      </c>
    </row>
    <row r="939" spans="1:11" x14ac:dyDescent="0.25">
      <c r="A939">
        <v>1938</v>
      </c>
      <c r="B939" t="s">
        <v>979</v>
      </c>
      <c r="C939" t="s">
        <v>11</v>
      </c>
      <c r="D939" t="s">
        <v>14</v>
      </c>
      <c r="E939" t="s">
        <v>18</v>
      </c>
      <c r="F939" t="s">
        <v>23</v>
      </c>
      <c r="G939">
        <v>53</v>
      </c>
      <c r="H939" s="13">
        <v>112403</v>
      </c>
      <c r="I939" s="13">
        <v>13554</v>
      </c>
      <c r="J939" t="s">
        <v>25</v>
      </c>
      <c r="K939" s="13">
        <f>HR_Data[[#This Row],[Salary]]+HR_Data[[#This Row],[Bonus]]</f>
        <v>125957</v>
      </c>
    </row>
    <row r="940" spans="1:11" x14ac:dyDescent="0.25">
      <c r="A940">
        <v>1939</v>
      </c>
      <c r="B940" t="s">
        <v>980</v>
      </c>
      <c r="C940" t="s">
        <v>11</v>
      </c>
      <c r="D940" t="s">
        <v>14</v>
      </c>
      <c r="E940" t="s">
        <v>18</v>
      </c>
      <c r="F940" t="s">
        <v>24</v>
      </c>
      <c r="G940">
        <v>25</v>
      </c>
      <c r="H940" s="13">
        <v>65382</v>
      </c>
      <c r="I940" s="13">
        <v>7429</v>
      </c>
      <c r="J940" t="s">
        <v>25</v>
      </c>
      <c r="K940" s="13">
        <f>HR_Data[[#This Row],[Salary]]+HR_Data[[#This Row],[Bonus]]</f>
        <v>72811</v>
      </c>
    </row>
    <row r="941" spans="1:11" x14ac:dyDescent="0.25">
      <c r="A941">
        <v>1940</v>
      </c>
      <c r="B941" t="s">
        <v>981</v>
      </c>
      <c r="C941" t="s">
        <v>10</v>
      </c>
      <c r="D941" t="s">
        <v>14</v>
      </c>
      <c r="E941" t="s">
        <v>16</v>
      </c>
      <c r="F941" t="s">
        <v>21</v>
      </c>
      <c r="G941">
        <v>41</v>
      </c>
      <c r="H941" s="13">
        <v>119290</v>
      </c>
      <c r="I941" s="13">
        <v>12444</v>
      </c>
      <c r="J941" t="s">
        <v>26</v>
      </c>
      <c r="K941" s="13">
        <f>HR_Data[[#This Row],[Salary]]+HR_Data[[#This Row],[Bonus]]</f>
        <v>131734</v>
      </c>
    </row>
    <row r="942" spans="1:11" x14ac:dyDescent="0.25">
      <c r="A942">
        <v>1941</v>
      </c>
      <c r="B942" t="s">
        <v>982</v>
      </c>
      <c r="C942" t="s">
        <v>8</v>
      </c>
      <c r="D942" t="s">
        <v>15</v>
      </c>
      <c r="E942" t="s">
        <v>20</v>
      </c>
      <c r="F942" t="s">
        <v>23</v>
      </c>
      <c r="G942">
        <v>57</v>
      </c>
      <c r="H942" s="13">
        <v>105038</v>
      </c>
      <c r="I942" s="13">
        <v>15510</v>
      </c>
      <c r="J942" t="s">
        <v>25</v>
      </c>
      <c r="K942" s="13">
        <f>HR_Data[[#This Row],[Salary]]+HR_Data[[#This Row],[Bonus]]</f>
        <v>120548</v>
      </c>
    </row>
    <row r="943" spans="1:11" x14ac:dyDescent="0.25">
      <c r="A943">
        <v>1942</v>
      </c>
      <c r="B943" t="s">
        <v>983</v>
      </c>
      <c r="C943" t="s">
        <v>11</v>
      </c>
      <c r="D943" t="s">
        <v>14</v>
      </c>
      <c r="E943" t="s">
        <v>18</v>
      </c>
      <c r="F943" t="s">
        <v>21</v>
      </c>
      <c r="G943">
        <v>53</v>
      </c>
      <c r="H943" s="13">
        <v>20760</v>
      </c>
      <c r="I943" s="13">
        <v>16277</v>
      </c>
      <c r="J943" t="s">
        <v>25</v>
      </c>
      <c r="K943" s="13">
        <f>HR_Data[[#This Row],[Salary]]+HR_Data[[#This Row],[Bonus]]</f>
        <v>37037</v>
      </c>
    </row>
    <row r="944" spans="1:11" x14ac:dyDescent="0.25">
      <c r="A944">
        <v>1943</v>
      </c>
      <c r="B944" t="s">
        <v>984</v>
      </c>
      <c r="C944" t="s">
        <v>10</v>
      </c>
      <c r="D944" t="s">
        <v>15</v>
      </c>
      <c r="E944" t="s">
        <v>19</v>
      </c>
      <c r="F944" t="s">
        <v>22</v>
      </c>
      <c r="G944">
        <v>49</v>
      </c>
      <c r="H944" s="13">
        <v>44142</v>
      </c>
      <c r="I944" s="13">
        <v>15537</v>
      </c>
      <c r="J944" t="s">
        <v>25</v>
      </c>
      <c r="K944" s="13">
        <f>HR_Data[[#This Row],[Salary]]+HR_Data[[#This Row],[Bonus]]</f>
        <v>59679</v>
      </c>
    </row>
    <row r="945" spans="1:11" x14ac:dyDescent="0.25">
      <c r="A945">
        <v>1944</v>
      </c>
      <c r="B945" t="s">
        <v>985</v>
      </c>
      <c r="C945" t="s">
        <v>2042</v>
      </c>
      <c r="D945" t="s">
        <v>14</v>
      </c>
      <c r="E945" t="s">
        <v>18</v>
      </c>
      <c r="F945" t="s">
        <v>22</v>
      </c>
      <c r="G945">
        <v>34</v>
      </c>
      <c r="H945" s="13">
        <v>37290</v>
      </c>
      <c r="I945" s="13">
        <v>12147</v>
      </c>
      <c r="J945" t="s">
        <v>25</v>
      </c>
      <c r="K945" s="13">
        <f>HR_Data[[#This Row],[Salary]]+HR_Data[[#This Row],[Bonus]]</f>
        <v>49437</v>
      </c>
    </row>
    <row r="946" spans="1:11" x14ac:dyDescent="0.25">
      <c r="A946">
        <v>1945</v>
      </c>
      <c r="B946" t="s">
        <v>986</v>
      </c>
      <c r="C946" t="s">
        <v>10</v>
      </c>
      <c r="D946" t="s">
        <v>14</v>
      </c>
      <c r="E946" t="s">
        <v>18</v>
      </c>
      <c r="F946" t="s">
        <v>24</v>
      </c>
      <c r="G946">
        <v>22</v>
      </c>
      <c r="H946" s="13">
        <v>91035</v>
      </c>
      <c r="I946" s="13">
        <v>12631</v>
      </c>
      <c r="J946" t="s">
        <v>25</v>
      </c>
      <c r="K946" s="13">
        <f>HR_Data[[#This Row],[Salary]]+HR_Data[[#This Row],[Bonus]]</f>
        <v>103666</v>
      </c>
    </row>
    <row r="947" spans="1:11" x14ac:dyDescent="0.25">
      <c r="A947">
        <v>1946</v>
      </c>
      <c r="B947" t="s">
        <v>987</v>
      </c>
      <c r="C947" t="s">
        <v>11</v>
      </c>
      <c r="D947" t="s">
        <v>14</v>
      </c>
      <c r="E947" t="s">
        <v>20</v>
      </c>
      <c r="F947" t="s">
        <v>22</v>
      </c>
      <c r="G947">
        <v>56</v>
      </c>
      <c r="H947" s="13">
        <v>20364</v>
      </c>
      <c r="I947" s="13">
        <v>8598</v>
      </c>
      <c r="J947" t="s">
        <v>25</v>
      </c>
      <c r="K947" s="13">
        <f>HR_Data[[#This Row],[Salary]]+HR_Data[[#This Row],[Bonus]]</f>
        <v>28962</v>
      </c>
    </row>
    <row r="948" spans="1:11" x14ac:dyDescent="0.25">
      <c r="A948">
        <v>1947</v>
      </c>
      <c r="B948" t="s">
        <v>988</v>
      </c>
      <c r="C948" t="s">
        <v>9</v>
      </c>
      <c r="D948" t="s">
        <v>14</v>
      </c>
      <c r="E948" t="s">
        <v>20</v>
      </c>
      <c r="F948" t="s">
        <v>21</v>
      </c>
      <c r="G948">
        <v>51</v>
      </c>
      <c r="H948" s="13">
        <v>76921</v>
      </c>
      <c r="I948" s="13">
        <v>9329</v>
      </c>
      <c r="J948" t="s">
        <v>25</v>
      </c>
      <c r="K948" s="13">
        <f>HR_Data[[#This Row],[Salary]]+HR_Data[[#This Row],[Bonus]]</f>
        <v>86250</v>
      </c>
    </row>
    <row r="949" spans="1:11" x14ac:dyDescent="0.25">
      <c r="A949">
        <v>1948</v>
      </c>
      <c r="B949" t="s">
        <v>989</v>
      </c>
      <c r="C949" t="s">
        <v>9</v>
      </c>
      <c r="D949" t="s">
        <v>14</v>
      </c>
      <c r="E949" t="s">
        <v>17</v>
      </c>
      <c r="F949" t="s">
        <v>22</v>
      </c>
      <c r="G949">
        <v>57</v>
      </c>
      <c r="H949" s="13">
        <v>39797</v>
      </c>
      <c r="I949" s="13">
        <v>11718</v>
      </c>
      <c r="J949" t="s">
        <v>25</v>
      </c>
      <c r="K949" s="13">
        <f>HR_Data[[#This Row],[Salary]]+HR_Data[[#This Row],[Bonus]]</f>
        <v>51515</v>
      </c>
    </row>
    <row r="950" spans="1:11" x14ac:dyDescent="0.25">
      <c r="A950">
        <v>1949</v>
      </c>
      <c r="B950" t="s">
        <v>990</v>
      </c>
      <c r="C950" t="s">
        <v>9</v>
      </c>
      <c r="D950" t="s">
        <v>14</v>
      </c>
      <c r="E950" t="s">
        <v>19</v>
      </c>
      <c r="F950" t="s">
        <v>21</v>
      </c>
      <c r="G950">
        <v>46</v>
      </c>
      <c r="H950" s="13">
        <v>52535</v>
      </c>
      <c r="I950" s="13">
        <v>14923</v>
      </c>
      <c r="J950" t="s">
        <v>25</v>
      </c>
      <c r="K950" s="13">
        <f>HR_Data[[#This Row],[Salary]]+HR_Data[[#This Row],[Bonus]]</f>
        <v>67458</v>
      </c>
    </row>
    <row r="951" spans="1:11" x14ac:dyDescent="0.25">
      <c r="A951">
        <v>1950</v>
      </c>
      <c r="B951" t="s">
        <v>991</v>
      </c>
      <c r="C951" t="s">
        <v>11</v>
      </c>
      <c r="D951" t="s">
        <v>15</v>
      </c>
      <c r="E951" t="s">
        <v>20</v>
      </c>
      <c r="F951" t="s">
        <v>24</v>
      </c>
      <c r="G951">
        <v>37</v>
      </c>
      <c r="H951" s="13">
        <v>66300</v>
      </c>
      <c r="I951" s="13">
        <v>29602</v>
      </c>
      <c r="J951" t="s">
        <v>25</v>
      </c>
      <c r="K951" s="13">
        <f>HR_Data[[#This Row],[Salary]]+HR_Data[[#This Row],[Bonus]]</f>
        <v>95902</v>
      </c>
    </row>
    <row r="952" spans="1:11" x14ac:dyDescent="0.25">
      <c r="A952">
        <v>1951</v>
      </c>
      <c r="B952" t="s">
        <v>992</v>
      </c>
      <c r="C952" t="s">
        <v>9</v>
      </c>
      <c r="D952" t="s">
        <v>27</v>
      </c>
      <c r="E952" t="s">
        <v>16</v>
      </c>
      <c r="F952" t="s">
        <v>24</v>
      </c>
      <c r="G952">
        <v>40</v>
      </c>
      <c r="H952" s="13">
        <v>67176</v>
      </c>
      <c r="I952" s="13">
        <v>18782</v>
      </c>
      <c r="J952" t="s">
        <v>25</v>
      </c>
      <c r="K952" s="13">
        <f>HR_Data[[#This Row],[Salary]]+HR_Data[[#This Row],[Bonus]]</f>
        <v>85958</v>
      </c>
    </row>
    <row r="953" spans="1:11" x14ac:dyDescent="0.25">
      <c r="A953">
        <v>1952</v>
      </c>
      <c r="B953" t="s">
        <v>993</v>
      </c>
      <c r="C953" t="s">
        <v>8</v>
      </c>
      <c r="D953" t="s">
        <v>15</v>
      </c>
      <c r="E953" t="s">
        <v>19</v>
      </c>
      <c r="F953" t="s">
        <v>21</v>
      </c>
      <c r="G953">
        <v>22</v>
      </c>
      <c r="H953" s="13">
        <v>36105</v>
      </c>
      <c r="I953" s="13">
        <v>21476</v>
      </c>
      <c r="J953" t="s">
        <v>25</v>
      </c>
      <c r="K953" s="13">
        <f>HR_Data[[#This Row],[Salary]]+HR_Data[[#This Row],[Bonus]]</f>
        <v>57581</v>
      </c>
    </row>
    <row r="954" spans="1:11" x14ac:dyDescent="0.25">
      <c r="A954">
        <v>1953</v>
      </c>
      <c r="B954" t="s">
        <v>994</v>
      </c>
      <c r="C954" t="s">
        <v>2042</v>
      </c>
      <c r="D954" t="s">
        <v>27</v>
      </c>
      <c r="E954" t="s">
        <v>19</v>
      </c>
      <c r="F954" t="s">
        <v>22</v>
      </c>
      <c r="G954">
        <v>26</v>
      </c>
      <c r="H954" s="13">
        <v>27939</v>
      </c>
      <c r="I954" s="13">
        <v>29884</v>
      </c>
      <c r="J954" t="s">
        <v>25</v>
      </c>
      <c r="K954" s="13">
        <f>HR_Data[[#This Row],[Salary]]+HR_Data[[#This Row],[Bonus]]</f>
        <v>57823</v>
      </c>
    </row>
    <row r="955" spans="1:11" x14ac:dyDescent="0.25">
      <c r="A955">
        <v>1954</v>
      </c>
      <c r="B955" t="s">
        <v>995</v>
      </c>
      <c r="C955" t="s">
        <v>10</v>
      </c>
      <c r="D955" t="s">
        <v>14</v>
      </c>
      <c r="E955" t="s">
        <v>20</v>
      </c>
      <c r="F955" t="s">
        <v>24</v>
      </c>
      <c r="G955">
        <v>43</v>
      </c>
      <c r="H955" s="13">
        <v>99472</v>
      </c>
      <c r="I955" s="13">
        <v>5051</v>
      </c>
      <c r="J955" t="s">
        <v>25</v>
      </c>
      <c r="K955" s="13">
        <f>HR_Data[[#This Row],[Salary]]+HR_Data[[#This Row],[Bonus]]</f>
        <v>104523</v>
      </c>
    </row>
    <row r="956" spans="1:11" x14ac:dyDescent="0.25">
      <c r="A956">
        <v>1955</v>
      </c>
      <c r="B956" t="s">
        <v>996</v>
      </c>
      <c r="C956" t="s">
        <v>10</v>
      </c>
      <c r="D956" t="s">
        <v>15</v>
      </c>
      <c r="E956" t="s">
        <v>19</v>
      </c>
      <c r="F956" t="s">
        <v>23</v>
      </c>
      <c r="G956">
        <v>45</v>
      </c>
      <c r="H956" s="13">
        <v>62029</v>
      </c>
      <c r="I956" s="13">
        <v>21702</v>
      </c>
      <c r="J956" t="s">
        <v>25</v>
      </c>
      <c r="K956" s="13">
        <f>HR_Data[[#This Row],[Salary]]+HR_Data[[#This Row],[Bonus]]</f>
        <v>83731</v>
      </c>
    </row>
    <row r="957" spans="1:11" x14ac:dyDescent="0.25">
      <c r="A957">
        <v>1956</v>
      </c>
      <c r="B957" t="s">
        <v>997</v>
      </c>
      <c r="C957" t="s">
        <v>11</v>
      </c>
      <c r="D957" t="s">
        <v>14</v>
      </c>
      <c r="E957" t="s">
        <v>20</v>
      </c>
      <c r="F957" t="s">
        <v>24</v>
      </c>
      <c r="G957">
        <v>58</v>
      </c>
      <c r="H957" s="13">
        <v>35863</v>
      </c>
      <c r="I957" s="13">
        <v>15184</v>
      </c>
      <c r="J957" t="s">
        <v>25</v>
      </c>
      <c r="K957" s="13">
        <f>HR_Data[[#This Row],[Salary]]+HR_Data[[#This Row],[Bonus]]</f>
        <v>51047</v>
      </c>
    </row>
    <row r="958" spans="1:11" x14ac:dyDescent="0.25">
      <c r="A958">
        <v>1957</v>
      </c>
      <c r="B958" t="s">
        <v>998</v>
      </c>
      <c r="C958" t="s">
        <v>9</v>
      </c>
      <c r="D958" t="s">
        <v>15</v>
      </c>
      <c r="E958" t="s">
        <v>18</v>
      </c>
      <c r="F958" t="s">
        <v>22</v>
      </c>
      <c r="G958">
        <v>57</v>
      </c>
      <c r="H958" s="13">
        <v>98097</v>
      </c>
      <c r="I958" s="13">
        <v>17468</v>
      </c>
      <c r="J958" t="s">
        <v>25</v>
      </c>
      <c r="K958" s="13">
        <f>HR_Data[[#This Row],[Salary]]+HR_Data[[#This Row],[Bonus]]</f>
        <v>115565</v>
      </c>
    </row>
    <row r="959" spans="1:11" x14ac:dyDescent="0.25">
      <c r="A959">
        <v>1958</v>
      </c>
      <c r="B959" t="s">
        <v>999</v>
      </c>
      <c r="C959" t="s">
        <v>9</v>
      </c>
      <c r="D959" t="s">
        <v>15</v>
      </c>
      <c r="E959" t="s">
        <v>17</v>
      </c>
      <c r="F959" t="s">
        <v>23</v>
      </c>
      <c r="G959">
        <v>57</v>
      </c>
      <c r="H959" s="13">
        <v>30447</v>
      </c>
      <c r="I959" s="13">
        <v>27072</v>
      </c>
      <c r="J959" t="s">
        <v>25</v>
      </c>
      <c r="K959" s="13">
        <f>HR_Data[[#This Row],[Salary]]+HR_Data[[#This Row],[Bonus]]</f>
        <v>57519</v>
      </c>
    </row>
    <row r="960" spans="1:11" x14ac:dyDescent="0.25">
      <c r="A960">
        <v>1959</v>
      </c>
      <c r="B960" t="s">
        <v>1000</v>
      </c>
      <c r="C960" t="s">
        <v>12</v>
      </c>
      <c r="D960" t="s">
        <v>14</v>
      </c>
      <c r="E960" t="s">
        <v>18</v>
      </c>
      <c r="F960" t="s">
        <v>22</v>
      </c>
      <c r="G960">
        <v>25</v>
      </c>
      <c r="H960" s="13">
        <v>116160</v>
      </c>
      <c r="I960" s="13">
        <v>20479</v>
      </c>
      <c r="J960" t="s">
        <v>25</v>
      </c>
      <c r="K960" s="13">
        <f>HR_Data[[#This Row],[Salary]]+HR_Data[[#This Row],[Bonus]]</f>
        <v>136639</v>
      </c>
    </row>
    <row r="961" spans="1:11" x14ac:dyDescent="0.25">
      <c r="A961">
        <v>1960</v>
      </c>
      <c r="B961" t="s">
        <v>1001</v>
      </c>
      <c r="C961" t="s">
        <v>2042</v>
      </c>
      <c r="D961" t="s">
        <v>15</v>
      </c>
      <c r="E961" t="s">
        <v>20</v>
      </c>
      <c r="F961" t="s">
        <v>21</v>
      </c>
      <c r="G961">
        <v>57</v>
      </c>
      <c r="H961" s="13">
        <v>66940</v>
      </c>
      <c r="I961" s="13">
        <v>28402</v>
      </c>
      <c r="J961" t="s">
        <v>25</v>
      </c>
      <c r="K961" s="13">
        <f>HR_Data[[#This Row],[Salary]]+HR_Data[[#This Row],[Bonus]]</f>
        <v>95342</v>
      </c>
    </row>
    <row r="962" spans="1:11" x14ac:dyDescent="0.25">
      <c r="A962">
        <v>1961</v>
      </c>
      <c r="B962" t="s">
        <v>1002</v>
      </c>
      <c r="C962" t="s">
        <v>8</v>
      </c>
      <c r="D962" t="s">
        <v>15</v>
      </c>
      <c r="E962" t="s">
        <v>20</v>
      </c>
      <c r="F962" t="s">
        <v>23</v>
      </c>
      <c r="G962">
        <v>39</v>
      </c>
      <c r="H962" s="13">
        <v>97947</v>
      </c>
      <c r="I962" s="13">
        <v>12210</v>
      </c>
      <c r="J962" t="s">
        <v>25</v>
      </c>
      <c r="K962" s="13">
        <f>HR_Data[[#This Row],[Salary]]+HR_Data[[#This Row],[Bonus]]</f>
        <v>110157</v>
      </c>
    </row>
    <row r="963" spans="1:11" x14ac:dyDescent="0.25">
      <c r="A963">
        <v>1962</v>
      </c>
      <c r="B963" t="s">
        <v>1003</v>
      </c>
      <c r="C963" t="s">
        <v>10</v>
      </c>
      <c r="D963" t="s">
        <v>14</v>
      </c>
      <c r="E963" t="s">
        <v>18</v>
      </c>
      <c r="F963" t="s">
        <v>22</v>
      </c>
      <c r="G963">
        <v>37</v>
      </c>
      <c r="H963" s="13">
        <v>105001</v>
      </c>
      <c r="I963" s="13">
        <v>17934</v>
      </c>
      <c r="J963" t="s">
        <v>25</v>
      </c>
      <c r="K963" s="13">
        <f>HR_Data[[#This Row],[Salary]]+HR_Data[[#This Row],[Bonus]]</f>
        <v>122935</v>
      </c>
    </row>
    <row r="964" spans="1:11" x14ac:dyDescent="0.25">
      <c r="A964">
        <v>1963</v>
      </c>
      <c r="B964" t="s">
        <v>1004</v>
      </c>
      <c r="C964" t="s">
        <v>12</v>
      </c>
      <c r="D964" t="s">
        <v>15</v>
      </c>
      <c r="E964" t="s">
        <v>16</v>
      </c>
      <c r="F964" t="s">
        <v>23</v>
      </c>
      <c r="G964">
        <v>39</v>
      </c>
      <c r="H964" s="13">
        <v>39642</v>
      </c>
      <c r="I964" s="13">
        <v>8956</v>
      </c>
      <c r="J964" t="s">
        <v>25</v>
      </c>
      <c r="K964" s="13">
        <f>HR_Data[[#This Row],[Salary]]+HR_Data[[#This Row],[Bonus]]</f>
        <v>48598</v>
      </c>
    </row>
    <row r="965" spans="1:11" x14ac:dyDescent="0.25">
      <c r="A965">
        <v>1964</v>
      </c>
      <c r="B965" t="s">
        <v>1005</v>
      </c>
      <c r="C965" t="s">
        <v>12</v>
      </c>
      <c r="D965" t="s">
        <v>14</v>
      </c>
      <c r="E965" t="s">
        <v>16</v>
      </c>
      <c r="F965" t="s">
        <v>22</v>
      </c>
      <c r="G965">
        <v>43</v>
      </c>
      <c r="H965" s="13">
        <v>116798</v>
      </c>
      <c r="I965" s="13">
        <v>11057</v>
      </c>
      <c r="J965" t="s">
        <v>26</v>
      </c>
      <c r="K965" s="13">
        <f>HR_Data[[#This Row],[Salary]]+HR_Data[[#This Row],[Bonus]]</f>
        <v>127855</v>
      </c>
    </row>
    <row r="966" spans="1:11" x14ac:dyDescent="0.25">
      <c r="A966">
        <v>1965</v>
      </c>
      <c r="B966" t="s">
        <v>1006</v>
      </c>
      <c r="C966" t="s">
        <v>11</v>
      </c>
      <c r="D966" t="s">
        <v>14</v>
      </c>
      <c r="E966" t="s">
        <v>16</v>
      </c>
      <c r="F966" t="s">
        <v>23</v>
      </c>
      <c r="G966">
        <v>23</v>
      </c>
      <c r="H966" s="13">
        <v>115899</v>
      </c>
      <c r="I966" s="13">
        <v>16210</v>
      </c>
      <c r="J966" t="s">
        <v>25</v>
      </c>
      <c r="K966" s="13">
        <f>HR_Data[[#This Row],[Salary]]+HR_Data[[#This Row],[Bonus]]</f>
        <v>132109</v>
      </c>
    </row>
    <row r="967" spans="1:11" x14ac:dyDescent="0.25">
      <c r="A967">
        <v>1966</v>
      </c>
      <c r="B967" t="s">
        <v>1007</v>
      </c>
      <c r="C967" t="s">
        <v>10</v>
      </c>
      <c r="D967" t="s">
        <v>14</v>
      </c>
      <c r="E967" t="s">
        <v>20</v>
      </c>
      <c r="F967" t="s">
        <v>22</v>
      </c>
      <c r="G967">
        <v>42</v>
      </c>
      <c r="H967" s="13">
        <v>87643</v>
      </c>
      <c r="I967" s="13">
        <v>19590</v>
      </c>
      <c r="J967" t="s">
        <v>25</v>
      </c>
      <c r="K967" s="13">
        <f>HR_Data[[#This Row],[Salary]]+HR_Data[[#This Row],[Bonus]]</f>
        <v>107233</v>
      </c>
    </row>
    <row r="968" spans="1:11" x14ac:dyDescent="0.25">
      <c r="A968">
        <v>1967</v>
      </c>
      <c r="B968" t="s">
        <v>1008</v>
      </c>
      <c r="C968" t="s">
        <v>11</v>
      </c>
      <c r="D968" t="s">
        <v>14</v>
      </c>
      <c r="E968" t="s">
        <v>19</v>
      </c>
      <c r="F968" t="s">
        <v>21</v>
      </c>
      <c r="G968">
        <v>57</v>
      </c>
      <c r="H968" s="13">
        <v>27928</v>
      </c>
      <c r="I968" s="13">
        <v>28259</v>
      </c>
      <c r="J968" t="s">
        <v>25</v>
      </c>
      <c r="K968" s="13">
        <f>HR_Data[[#This Row],[Salary]]+HR_Data[[#This Row],[Bonus]]</f>
        <v>56187</v>
      </c>
    </row>
    <row r="969" spans="1:11" x14ac:dyDescent="0.25">
      <c r="A969">
        <v>1968</v>
      </c>
      <c r="B969" t="s">
        <v>1009</v>
      </c>
      <c r="C969" t="s">
        <v>8</v>
      </c>
      <c r="D969" t="s">
        <v>15</v>
      </c>
      <c r="E969" t="s">
        <v>20</v>
      </c>
      <c r="F969" t="s">
        <v>23</v>
      </c>
      <c r="G969">
        <v>50</v>
      </c>
      <c r="H969" s="13">
        <v>68002</v>
      </c>
      <c r="I969" s="13">
        <v>25815</v>
      </c>
      <c r="J969" t="s">
        <v>25</v>
      </c>
      <c r="K969" s="13">
        <f>HR_Data[[#This Row],[Salary]]+HR_Data[[#This Row],[Bonus]]</f>
        <v>93817</v>
      </c>
    </row>
    <row r="970" spans="1:11" x14ac:dyDescent="0.25">
      <c r="A970">
        <v>1969</v>
      </c>
      <c r="B970" t="s">
        <v>1010</v>
      </c>
      <c r="C970" t="s">
        <v>12</v>
      </c>
      <c r="D970" t="s">
        <v>14</v>
      </c>
      <c r="E970" t="s">
        <v>19</v>
      </c>
      <c r="F970" t="s">
        <v>23</v>
      </c>
      <c r="G970">
        <v>47</v>
      </c>
      <c r="H970" s="13">
        <v>104853</v>
      </c>
      <c r="I970" s="13">
        <v>18864</v>
      </c>
      <c r="J970" t="s">
        <v>25</v>
      </c>
      <c r="K970" s="13">
        <f>HR_Data[[#This Row],[Salary]]+HR_Data[[#This Row],[Bonus]]</f>
        <v>123717</v>
      </c>
    </row>
    <row r="971" spans="1:11" x14ac:dyDescent="0.25">
      <c r="A971">
        <v>1970</v>
      </c>
      <c r="B971" t="s">
        <v>1011</v>
      </c>
      <c r="C971" t="s">
        <v>12</v>
      </c>
      <c r="D971" t="s">
        <v>14</v>
      </c>
      <c r="E971" t="s">
        <v>18</v>
      </c>
      <c r="F971" t="s">
        <v>23</v>
      </c>
      <c r="G971">
        <v>42</v>
      </c>
      <c r="H971" s="13">
        <v>45017</v>
      </c>
      <c r="I971" s="13">
        <v>6525</v>
      </c>
      <c r="J971" t="s">
        <v>25</v>
      </c>
      <c r="K971" s="13">
        <f>HR_Data[[#This Row],[Salary]]+HR_Data[[#This Row],[Bonus]]</f>
        <v>51542</v>
      </c>
    </row>
    <row r="972" spans="1:11" x14ac:dyDescent="0.25">
      <c r="A972">
        <v>1971</v>
      </c>
      <c r="B972" t="s">
        <v>1012</v>
      </c>
      <c r="C972" t="s">
        <v>2042</v>
      </c>
      <c r="D972" t="s">
        <v>15</v>
      </c>
      <c r="E972" t="s">
        <v>17</v>
      </c>
      <c r="F972" t="s">
        <v>23</v>
      </c>
      <c r="G972">
        <v>38</v>
      </c>
      <c r="H972" s="13">
        <v>99064</v>
      </c>
      <c r="I972" s="13">
        <v>18277</v>
      </c>
      <c r="J972" t="s">
        <v>25</v>
      </c>
      <c r="K972" s="13">
        <f>HR_Data[[#This Row],[Salary]]+HR_Data[[#This Row],[Bonus]]</f>
        <v>117341</v>
      </c>
    </row>
    <row r="973" spans="1:11" x14ac:dyDescent="0.25">
      <c r="A973">
        <v>1972</v>
      </c>
      <c r="B973" t="s">
        <v>1013</v>
      </c>
      <c r="C973" t="s">
        <v>8</v>
      </c>
      <c r="D973" t="s">
        <v>14</v>
      </c>
      <c r="E973" t="s">
        <v>19</v>
      </c>
      <c r="F973" t="s">
        <v>21</v>
      </c>
      <c r="G973">
        <v>37</v>
      </c>
      <c r="H973" s="13">
        <v>33313</v>
      </c>
      <c r="I973" s="13">
        <v>12043</v>
      </c>
      <c r="J973" t="s">
        <v>25</v>
      </c>
      <c r="K973" s="13">
        <f>HR_Data[[#This Row],[Salary]]+HR_Data[[#This Row],[Bonus]]</f>
        <v>45356</v>
      </c>
    </row>
    <row r="974" spans="1:11" x14ac:dyDescent="0.25">
      <c r="A974">
        <v>1973</v>
      </c>
      <c r="B974" t="s">
        <v>1014</v>
      </c>
      <c r="C974" t="s">
        <v>12</v>
      </c>
      <c r="D974" t="s">
        <v>14</v>
      </c>
      <c r="E974" t="s">
        <v>16</v>
      </c>
      <c r="F974" t="s">
        <v>23</v>
      </c>
      <c r="G974">
        <v>52</v>
      </c>
      <c r="H974" s="13">
        <v>21559</v>
      </c>
      <c r="I974" s="13">
        <v>22662</v>
      </c>
      <c r="J974" t="s">
        <v>25</v>
      </c>
      <c r="K974" s="13">
        <f>HR_Data[[#This Row],[Salary]]+HR_Data[[#This Row],[Bonus]]</f>
        <v>44221</v>
      </c>
    </row>
    <row r="975" spans="1:11" x14ac:dyDescent="0.25">
      <c r="A975">
        <v>1974</v>
      </c>
      <c r="B975" t="s">
        <v>1015</v>
      </c>
      <c r="C975" t="s">
        <v>8</v>
      </c>
      <c r="D975" t="s">
        <v>15</v>
      </c>
      <c r="E975" t="s">
        <v>20</v>
      </c>
      <c r="F975" t="s">
        <v>24</v>
      </c>
      <c r="G975">
        <v>30</v>
      </c>
      <c r="H975" s="13">
        <v>70893</v>
      </c>
      <c r="I975" s="13">
        <v>13705</v>
      </c>
      <c r="J975" t="s">
        <v>25</v>
      </c>
      <c r="K975" s="13">
        <f>HR_Data[[#This Row],[Salary]]+HR_Data[[#This Row],[Bonus]]</f>
        <v>84598</v>
      </c>
    </row>
    <row r="976" spans="1:11" x14ac:dyDescent="0.25">
      <c r="A976">
        <v>1975</v>
      </c>
      <c r="B976" t="s">
        <v>1016</v>
      </c>
      <c r="C976" t="s">
        <v>10</v>
      </c>
      <c r="D976" t="s">
        <v>15</v>
      </c>
      <c r="E976" t="s">
        <v>18</v>
      </c>
      <c r="F976" t="s">
        <v>21</v>
      </c>
      <c r="G976">
        <v>52</v>
      </c>
      <c r="H976" s="13">
        <v>35167</v>
      </c>
      <c r="I976" s="13">
        <v>11125</v>
      </c>
      <c r="J976" t="s">
        <v>25</v>
      </c>
      <c r="K976" s="13">
        <f>HR_Data[[#This Row],[Salary]]+HR_Data[[#This Row],[Bonus]]</f>
        <v>46292</v>
      </c>
    </row>
    <row r="977" spans="1:11" x14ac:dyDescent="0.25">
      <c r="A977">
        <v>1976</v>
      </c>
      <c r="B977" t="s">
        <v>1017</v>
      </c>
      <c r="C977" t="s">
        <v>9</v>
      </c>
      <c r="D977" t="s">
        <v>15</v>
      </c>
      <c r="E977" t="s">
        <v>16</v>
      </c>
      <c r="F977" t="s">
        <v>24</v>
      </c>
      <c r="G977">
        <v>35</v>
      </c>
      <c r="H977" s="13">
        <v>100879</v>
      </c>
      <c r="I977" s="13">
        <v>12874</v>
      </c>
      <c r="J977" t="s">
        <v>25</v>
      </c>
      <c r="K977" s="13">
        <f>HR_Data[[#This Row],[Salary]]+HR_Data[[#This Row],[Bonus]]</f>
        <v>113753</v>
      </c>
    </row>
    <row r="978" spans="1:11" x14ac:dyDescent="0.25">
      <c r="A978">
        <v>1977</v>
      </c>
      <c r="B978" t="s">
        <v>1018</v>
      </c>
      <c r="C978" t="s">
        <v>12</v>
      </c>
      <c r="D978" t="s">
        <v>15</v>
      </c>
      <c r="E978" t="s">
        <v>18</v>
      </c>
      <c r="F978" t="s">
        <v>23</v>
      </c>
      <c r="G978">
        <v>58</v>
      </c>
      <c r="H978" s="13">
        <v>58598</v>
      </c>
      <c r="I978" s="13">
        <v>17529</v>
      </c>
      <c r="J978" t="s">
        <v>25</v>
      </c>
      <c r="K978" s="13">
        <f>HR_Data[[#This Row],[Salary]]+HR_Data[[#This Row],[Bonus]]</f>
        <v>76127</v>
      </c>
    </row>
    <row r="979" spans="1:11" x14ac:dyDescent="0.25">
      <c r="A979">
        <v>1978</v>
      </c>
      <c r="B979" t="s">
        <v>1019</v>
      </c>
      <c r="C979" t="s">
        <v>2042</v>
      </c>
      <c r="D979" t="s">
        <v>15</v>
      </c>
      <c r="E979" t="s">
        <v>17</v>
      </c>
      <c r="F979" t="s">
        <v>22</v>
      </c>
      <c r="G979">
        <v>23</v>
      </c>
      <c r="H979" s="13">
        <v>27523</v>
      </c>
      <c r="I979" s="13">
        <v>28284</v>
      </c>
      <c r="J979" t="s">
        <v>25</v>
      </c>
      <c r="K979" s="13">
        <f>HR_Data[[#This Row],[Salary]]+HR_Data[[#This Row],[Bonus]]</f>
        <v>55807</v>
      </c>
    </row>
    <row r="980" spans="1:11" x14ac:dyDescent="0.25">
      <c r="A980">
        <v>1979</v>
      </c>
      <c r="B980" t="s">
        <v>1020</v>
      </c>
      <c r="C980" t="s">
        <v>10</v>
      </c>
      <c r="D980" t="s">
        <v>15</v>
      </c>
      <c r="E980" t="s">
        <v>20</v>
      </c>
      <c r="F980" t="s">
        <v>24</v>
      </c>
      <c r="G980">
        <v>35</v>
      </c>
      <c r="H980" s="13">
        <v>69777</v>
      </c>
      <c r="I980" s="13">
        <v>19955</v>
      </c>
      <c r="J980" t="s">
        <v>25</v>
      </c>
      <c r="K980" s="13">
        <f>HR_Data[[#This Row],[Salary]]+HR_Data[[#This Row],[Bonus]]</f>
        <v>89732</v>
      </c>
    </row>
    <row r="981" spans="1:11" x14ac:dyDescent="0.25">
      <c r="A981">
        <v>1980</v>
      </c>
      <c r="B981" t="s">
        <v>1021</v>
      </c>
      <c r="C981" t="s">
        <v>8</v>
      </c>
      <c r="D981" t="s">
        <v>15</v>
      </c>
      <c r="E981" t="s">
        <v>20</v>
      </c>
      <c r="F981" t="s">
        <v>23</v>
      </c>
      <c r="G981">
        <v>54</v>
      </c>
      <c r="H981" s="13">
        <v>48439</v>
      </c>
      <c r="I981" s="13">
        <v>7500</v>
      </c>
      <c r="J981" t="s">
        <v>25</v>
      </c>
      <c r="K981" s="13">
        <f>HR_Data[[#This Row],[Salary]]+HR_Data[[#This Row],[Bonus]]</f>
        <v>55939</v>
      </c>
    </row>
    <row r="982" spans="1:11" x14ac:dyDescent="0.25">
      <c r="A982">
        <v>1981</v>
      </c>
      <c r="B982" t="s">
        <v>1022</v>
      </c>
      <c r="C982" t="s">
        <v>11</v>
      </c>
      <c r="D982" t="s">
        <v>14</v>
      </c>
      <c r="E982" t="s">
        <v>17</v>
      </c>
      <c r="F982" t="s">
        <v>24</v>
      </c>
      <c r="G982">
        <v>56</v>
      </c>
      <c r="H982" s="13">
        <v>101060</v>
      </c>
      <c r="I982" s="13">
        <v>8464</v>
      </c>
      <c r="J982" t="s">
        <v>25</v>
      </c>
      <c r="K982" s="13">
        <f>HR_Data[[#This Row],[Salary]]+HR_Data[[#This Row],[Bonus]]</f>
        <v>109524</v>
      </c>
    </row>
    <row r="983" spans="1:11" x14ac:dyDescent="0.25">
      <c r="A983">
        <v>1982</v>
      </c>
      <c r="B983" t="s">
        <v>1023</v>
      </c>
      <c r="C983" t="s">
        <v>10</v>
      </c>
      <c r="D983" t="s">
        <v>15</v>
      </c>
      <c r="E983" t="s">
        <v>20</v>
      </c>
      <c r="F983" t="s">
        <v>23</v>
      </c>
      <c r="G983">
        <v>41</v>
      </c>
      <c r="H983" s="13">
        <v>33285</v>
      </c>
      <c r="I983" s="13">
        <v>23643</v>
      </c>
      <c r="J983" t="s">
        <v>26</v>
      </c>
      <c r="K983" s="13">
        <f>HR_Data[[#This Row],[Salary]]+HR_Data[[#This Row],[Bonus]]</f>
        <v>56928</v>
      </c>
    </row>
    <row r="984" spans="1:11" x14ac:dyDescent="0.25">
      <c r="A984">
        <v>1983</v>
      </c>
      <c r="B984" t="s">
        <v>1024</v>
      </c>
      <c r="C984" t="s">
        <v>12</v>
      </c>
      <c r="D984" t="s">
        <v>15</v>
      </c>
      <c r="E984" t="s">
        <v>19</v>
      </c>
      <c r="F984" t="s">
        <v>23</v>
      </c>
      <c r="G984">
        <v>23</v>
      </c>
      <c r="H984" s="13">
        <v>30973</v>
      </c>
      <c r="I984" s="13">
        <v>20954</v>
      </c>
      <c r="J984" t="s">
        <v>25</v>
      </c>
      <c r="K984" s="13">
        <f>HR_Data[[#This Row],[Salary]]+HR_Data[[#This Row],[Bonus]]</f>
        <v>51927</v>
      </c>
    </row>
    <row r="985" spans="1:11" x14ac:dyDescent="0.25">
      <c r="A985">
        <v>1984</v>
      </c>
      <c r="B985" t="s">
        <v>1025</v>
      </c>
      <c r="C985" t="s">
        <v>8</v>
      </c>
      <c r="D985" t="s">
        <v>15</v>
      </c>
      <c r="E985" t="s">
        <v>18</v>
      </c>
      <c r="F985" t="s">
        <v>23</v>
      </c>
      <c r="G985">
        <v>40</v>
      </c>
      <c r="H985" s="13">
        <v>42694</v>
      </c>
      <c r="I985" s="13">
        <v>28880</v>
      </c>
      <c r="J985" t="s">
        <v>25</v>
      </c>
      <c r="K985" s="13">
        <f>HR_Data[[#This Row],[Salary]]+HR_Data[[#This Row],[Bonus]]</f>
        <v>71574</v>
      </c>
    </row>
    <row r="986" spans="1:11" x14ac:dyDescent="0.25">
      <c r="A986">
        <v>1985</v>
      </c>
      <c r="B986" t="s">
        <v>1026</v>
      </c>
      <c r="C986" t="s">
        <v>9</v>
      </c>
      <c r="D986" t="s">
        <v>14</v>
      </c>
      <c r="E986" t="s">
        <v>16</v>
      </c>
      <c r="F986" t="s">
        <v>22</v>
      </c>
      <c r="G986">
        <v>58</v>
      </c>
      <c r="H986" s="13">
        <v>55774</v>
      </c>
      <c r="I986" s="13">
        <v>24043</v>
      </c>
      <c r="J986" t="s">
        <v>26</v>
      </c>
      <c r="K986" s="13">
        <f>HR_Data[[#This Row],[Salary]]+HR_Data[[#This Row],[Bonus]]</f>
        <v>79817</v>
      </c>
    </row>
    <row r="987" spans="1:11" x14ac:dyDescent="0.25">
      <c r="A987">
        <v>1986</v>
      </c>
      <c r="B987" t="s">
        <v>1027</v>
      </c>
      <c r="C987" t="s">
        <v>10</v>
      </c>
      <c r="D987" t="s">
        <v>14</v>
      </c>
      <c r="E987" t="s">
        <v>17</v>
      </c>
      <c r="F987" t="s">
        <v>24</v>
      </c>
      <c r="G987">
        <v>39</v>
      </c>
      <c r="H987" s="13">
        <v>24302</v>
      </c>
      <c r="I987" s="13">
        <v>5255</v>
      </c>
      <c r="J987" t="s">
        <v>25</v>
      </c>
      <c r="K987" s="13">
        <f>HR_Data[[#This Row],[Salary]]+HR_Data[[#This Row],[Bonus]]</f>
        <v>29557</v>
      </c>
    </row>
    <row r="988" spans="1:11" x14ac:dyDescent="0.25">
      <c r="A988">
        <v>1987</v>
      </c>
      <c r="B988" t="s">
        <v>1028</v>
      </c>
      <c r="C988" t="s">
        <v>12</v>
      </c>
      <c r="D988" t="s">
        <v>15</v>
      </c>
      <c r="E988" t="s">
        <v>19</v>
      </c>
      <c r="F988" t="s">
        <v>21</v>
      </c>
      <c r="G988">
        <v>37</v>
      </c>
      <c r="H988" s="13">
        <v>42391</v>
      </c>
      <c r="I988" s="13">
        <v>6502</v>
      </c>
      <c r="J988" t="s">
        <v>25</v>
      </c>
      <c r="K988" s="13">
        <f>HR_Data[[#This Row],[Salary]]+HR_Data[[#This Row],[Bonus]]</f>
        <v>48893</v>
      </c>
    </row>
    <row r="989" spans="1:11" x14ac:dyDescent="0.25">
      <c r="A989">
        <v>1988</v>
      </c>
      <c r="B989" t="s">
        <v>1029</v>
      </c>
      <c r="C989" t="s">
        <v>2042</v>
      </c>
      <c r="D989" t="s">
        <v>27</v>
      </c>
      <c r="E989" t="s">
        <v>16</v>
      </c>
      <c r="F989" t="s">
        <v>21</v>
      </c>
      <c r="G989">
        <v>25</v>
      </c>
      <c r="H989" s="13">
        <v>24611</v>
      </c>
      <c r="I989" s="13">
        <v>9656</v>
      </c>
      <c r="J989" t="s">
        <v>25</v>
      </c>
      <c r="K989" s="13">
        <f>HR_Data[[#This Row],[Salary]]+HR_Data[[#This Row],[Bonus]]</f>
        <v>34267</v>
      </c>
    </row>
    <row r="990" spans="1:11" x14ac:dyDescent="0.25">
      <c r="A990">
        <v>1989</v>
      </c>
      <c r="B990" t="s">
        <v>1030</v>
      </c>
      <c r="C990" t="s">
        <v>11</v>
      </c>
      <c r="D990" t="s">
        <v>15</v>
      </c>
      <c r="E990" t="s">
        <v>16</v>
      </c>
      <c r="F990" t="s">
        <v>21</v>
      </c>
      <c r="G990">
        <v>33</v>
      </c>
      <c r="H990" s="13">
        <v>29372</v>
      </c>
      <c r="I990" s="13">
        <v>15302</v>
      </c>
      <c r="J990" t="s">
        <v>25</v>
      </c>
      <c r="K990" s="13">
        <f>HR_Data[[#This Row],[Salary]]+HR_Data[[#This Row],[Bonus]]</f>
        <v>44674</v>
      </c>
    </row>
    <row r="991" spans="1:11" x14ac:dyDescent="0.25">
      <c r="A991">
        <v>1990</v>
      </c>
      <c r="B991" t="s">
        <v>1031</v>
      </c>
      <c r="C991" t="s">
        <v>8</v>
      </c>
      <c r="D991" t="s">
        <v>14</v>
      </c>
      <c r="E991" t="s">
        <v>17</v>
      </c>
      <c r="F991" t="s">
        <v>21</v>
      </c>
      <c r="G991">
        <v>50</v>
      </c>
      <c r="H991" s="13">
        <v>44312</v>
      </c>
      <c r="I991" s="13">
        <v>10430</v>
      </c>
      <c r="J991" t="s">
        <v>25</v>
      </c>
      <c r="K991" s="13">
        <f>HR_Data[[#This Row],[Salary]]+HR_Data[[#This Row],[Bonus]]</f>
        <v>54742</v>
      </c>
    </row>
    <row r="992" spans="1:11" x14ac:dyDescent="0.25">
      <c r="A992">
        <v>1991</v>
      </c>
      <c r="B992" t="s">
        <v>1032</v>
      </c>
      <c r="C992" t="s">
        <v>10</v>
      </c>
      <c r="D992" t="s">
        <v>14</v>
      </c>
      <c r="E992" t="s">
        <v>19</v>
      </c>
      <c r="F992" t="s">
        <v>23</v>
      </c>
      <c r="G992">
        <v>28</v>
      </c>
      <c r="H992" s="13">
        <v>34080</v>
      </c>
      <c r="I992" s="13">
        <v>13598</v>
      </c>
      <c r="J992" t="s">
        <v>25</v>
      </c>
      <c r="K992" s="13">
        <f>HR_Data[[#This Row],[Salary]]+HR_Data[[#This Row],[Bonus]]</f>
        <v>47678</v>
      </c>
    </row>
    <row r="993" spans="1:11" x14ac:dyDescent="0.25">
      <c r="A993">
        <v>1992</v>
      </c>
      <c r="B993" t="s">
        <v>1033</v>
      </c>
      <c r="C993" t="s">
        <v>10</v>
      </c>
      <c r="D993" t="s">
        <v>15</v>
      </c>
      <c r="E993" t="s">
        <v>16</v>
      </c>
      <c r="F993" t="s">
        <v>24</v>
      </c>
      <c r="G993">
        <v>35</v>
      </c>
      <c r="H993" s="13">
        <v>100618</v>
      </c>
      <c r="I993" s="13">
        <v>24560</v>
      </c>
      <c r="J993" t="s">
        <v>26</v>
      </c>
      <c r="K993" s="13">
        <f>HR_Data[[#This Row],[Salary]]+HR_Data[[#This Row],[Bonus]]</f>
        <v>125178</v>
      </c>
    </row>
    <row r="994" spans="1:11" x14ac:dyDescent="0.25">
      <c r="A994">
        <v>1993</v>
      </c>
      <c r="B994" t="s">
        <v>1034</v>
      </c>
      <c r="C994" t="s">
        <v>9</v>
      </c>
      <c r="D994" t="s">
        <v>14</v>
      </c>
      <c r="E994" t="s">
        <v>16</v>
      </c>
      <c r="F994" t="s">
        <v>24</v>
      </c>
      <c r="G994">
        <v>33</v>
      </c>
      <c r="H994" s="13">
        <v>69554.53</v>
      </c>
      <c r="I994" s="13">
        <v>20976</v>
      </c>
      <c r="J994" t="s">
        <v>25</v>
      </c>
      <c r="K994" s="13">
        <f>HR_Data[[#This Row],[Salary]]+HR_Data[[#This Row],[Bonus]]</f>
        <v>90530.53</v>
      </c>
    </row>
    <row r="995" spans="1:11" x14ac:dyDescent="0.25">
      <c r="A995">
        <v>1994</v>
      </c>
      <c r="B995" t="s">
        <v>1035</v>
      </c>
      <c r="C995" t="s">
        <v>9</v>
      </c>
      <c r="D995" t="s">
        <v>15</v>
      </c>
      <c r="E995" t="s">
        <v>19</v>
      </c>
      <c r="F995" t="s">
        <v>22</v>
      </c>
      <c r="G995">
        <v>56</v>
      </c>
      <c r="H995" s="13">
        <v>40874</v>
      </c>
      <c r="I995" s="13">
        <v>6860</v>
      </c>
      <c r="J995" t="s">
        <v>26</v>
      </c>
      <c r="K995" s="13">
        <f>HR_Data[[#This Row],[Salary]]+HR_Data[[#This Row],[Bonus]]</f>
        <v>47734</v>
      </c>
    </row>
    <row r="996" spans="1:11" x14ac:dyDescent="0.25">
      <c r="A996">
        <v>1995</v>
      </c>
      <c r="B996" t="s">
        <v>1036</v>
      </c>
      <c r="C996" t="s">
        <v>2042</v>
      </c>
      <c r="D996" t="s">
        <v>14</v>
      </c>
      <c r="E996" t="s">
        <v>20</v>
      </c>
      <c r="F996" t="s">
        <v>24</v>
      </c>
      <c r="G996">
        <v>26</v>
      </c>
      <c r="H996" s="13">
        <v>82537</v>
      </c>
      <c r="I996" s="13">
        <v>11158</v>
      </c>
      <c r="J996" t="s">
        <v>25</v>
      </c>
      <c r="K996" s="13">
        <f>HR_Data[[#This Row],[Salary]]+HR_Data[[#This Row],[Bonus]]</f>
        <v>93695</v>
      </c>
    </row>
    <row r="997" spans="1:11" x14ac:dyDescent="0.25">
      <c r="A997">
        <v>1996</v>
      </c>
      <c r="B997" t="s">
        <v>1037</v>
      </c>
      <c r="C997" t="s">
        <v>11</v>
      </c>
      <c r="D997" t="s">
        <v>14</v>
      </c>
      <c r="E997" t="s">
        <v>16</v>
      </c>
      <c r="F997" t="s">
        <v>24</v>
      </c>
      <c r="G997">
        <v>38</v>
      </c>
      <c r="H997" s="13">
        <v>93914</v>
      </c>
      <c r="I997" s="13">
        <v>10806</v>
      </c>
      <c r="J997" t="s">
        <v>25</v>
      </c>
      <c r="K997" s="13">
        <f>HR_Data[[#This Row],[Salary]]+HR_Data[[#This Row],[Bonus]]</f>
        <v>104720</v>
      </c>
    </row>
    <row r="998" spans="1:11" x14ac:dyDescent="0.25">
      <c r="A998">
        <v>1997</v>
      </c>
      <c r="B998" t="s">
        <v>1038</v>
      </c>
      <c r="C998" t="s">
        <v>2042</v>
      </c>
      <c r="D998" t="s">
        <v>15</v>
      </c>
      <c r="E998" t="s">
        <v>18</v>
      </c>
      <c r="F998" t="s">
        <v>24</v>
      </c>
      <c r="G998">
        <v>53</v>
      </c>
      <c r="H998" s="13">
        <v>21597</v>
      </c>
      <c r="I998" s="13">
        <v>25738</v>
      </c>
      <c r="J998" t="s">
        <v>25</v>
      </c>
      <c r="K998" s="13">
        <f>HR_Data[[#This Row],[Salary]]+HR_Data[[#This Row],[Bonus]]</f>
        <v>47335</v>
      </c>
    </row>
    <row r="999" spans="1:11" x14ac:dyDescent="0.25">
      <c r="A999">
        <v>1998</v>
      </c>
      <c r="B999" t="s">
        <v>1039</v>
      </c>
      <c r="C999" t="s">
        <v>12</v>
      </c>
      <c r="D999" t="s">
        <v>15</v>
      </c>
      <c r="E999" t="s">
        <v>19</v>
      </c>
      <c r="F999" t="s">
        <v>22</v>
      </c>
      <c r="G999">
        <v>31</v>
      </c>
      <c r="H999" s="13">
        <v>31600</v>
      </c>
      <c r="I999" s="13">
        <v>22106</v>
      </c>
      <c r="J999" t="s">
        <v>25</v>
      </c>
      <c r="K999" s="13">
        <f>HR_Data[[#This Row],[Salary]]+HR_Data[[#This Row],[Bonus]]</f>
        <v>53706</v>
      </c>
    </row>
    <row r="1000" spans="1:11" x14ac:dyDescent="0.25">
      <c r="A1000">
        <v>1999</v>
      </c>
      <c r="B1000" t="s">
        <v>1040</v>
      </c>
      <c r="C1000" t="s">
        <v>12</v>
      </c>
      <c r="D1000" t="s">
        <v>15</v>
      </c>
      <c r="E1000" t="s">
        <v>16</v>
      </c>
      <c r="F1000" t="s">
        <v>21</v>
      </c>
      <c r="G1000">
        <v>38</v>
      </c>
      <c r="H1000" s="13">
        <v>23747</v>
      </c>
      <c r="I1000" s="13">
        <v>28963</v>
      </c>
      <c r="J1000" t="s">
        <v>25</v>
      </c>
      <c r="K1000" s="13">
        <f>HR_Data[[#This Row],[Salary]]+HR_Data[[#This Row],[Bonus]]</f>
        <v>52710</v>
      </c>
    </row>
    <row r="1001" spans="1:11" x14ac:dyDescent="0.25">
      <c r="A1001">
        <v>2000</v>
      </c>
      <c r="B1001" t="s">
        <v>1041</v>
      </c>
      <c r="C1001" t="s">
        <v>2042</v>
      </c>
      <c r="D1001" t="s">
        <v>15</v>
      </c>
      <c r="E1001" t="s">
        <v>17</v>
      </c>
      <c r="F1001" t="s">
        <v>24</v>
      </c>
      <c r="G1001">
        <v>26</v>
      </c>
      <c r="H1001" s="13">
        <v>99415</v>
      </c>
      <c r="I1001" s="13">
        <v>14474</v>
      </c>
      <c r="J1001" t="s">
        <v>25</v>
      </c>
      <c r="K1001" s="13">
        <f>HR_Data[[#This Row],[Salary]]+HR_Data[[#This Row],[Bonus]]</f>
        <v>113889</v>
      </c>
    </row>
    <row r="1002" spans="1:11" x14ac:dyDescent="0.25">
      <c r="A1002">
        <v>2001</v>
      </c>
      <c r="B1002" t="s">
        <v>1042</v>
      </c>
      <c r="C1002" t="s">
        <v>11</v>
      </c>
      <c r="D1002" t="s">
        <v>14</v>
      </c>
      <c r="E1002" t="s">
        <v>18</v>
      </c>
      <c r="F1002" t="s">
        <v>22</v>
      </c>
      <c r="G1002">
        <v>30</v>
      </c>
      <c r="H1002" s="13">
        <v>98553</v>
      </c>
      <c r="I1002" s="13">
        <v>21997</v>
      </c>
      <c r="J1002" t="s">
        <v>25</v>
      </c>
      <c r="K1002" s="13">
        <f>HR_Data[[#This Row],[Salary]]+HR_Data[[#This Row],[Bonus]]</f>
        <v>120550</v>
      </c>
    </row>
    <row r="1003" spans="1:11" x14ac:dyDescent="0.25">
      <c r="A1003">
        <v>2002</v>
      </c>
      <c r="B1003" t="s">
        <v>1043</v>
      </c>
      <c r="C1003" t="s">
        <v>2042</v>
      </c>
      <c r="D1003" t="s">
        <v>14</v>
      </c>
      <c r="E1003" t="s">
        <v>16</v>
      </c>
      <c r="F1003" t="s">
        <v>22</v>
      </c>
      <c r="G1003">
        <v>54</v>
      </c>
      <c r="H1003" s="13">
        <v>44815</v>
      </c>
      <c r="I1003" s="13">
        <v>24715</v>
      </c>
      <c r="J1003" t="s">
        <v>25</v>
      </c>
      <c r="K1003" s="13">
        <f>HR_Data[[#This Row],[Salary]]+HR_Data[[#This Row],[Bonus]]</f>
        <v>69530</v>
      </c>
    </row>
    <row r="1004" spans="1:11" x14ac:dyDescent="0.25">
      <c r="A1004">
        <v>2003</v>
      </c>
      <c r="B1004" t="s">
        <v>1044</v>
      </c>
      <c r="C1004" t="s">
        <v>11</v>
      </c>
      <c r="D1004" t="s">
        <v>14</v>
      </c>
      <c r="E1004" t="s">
        <v>18</v>
      </c>
      <c r="F1004" t="s">
        <v>23</v>
      </c>
      <c r="G1004">
        <v>57</v>
      </c>
      <c r="H1004" s="13">
        <v>104500</v>
      </c>
      <c r="I1004" s="13">
        <v>10790</v>
      </c>
      <c r="J1004" t="s">
        <v>25</v>
      </c>
      <c r="K1004" s="13">
        <f>HR_Data[[#This Row],[Salary]]+HR_Data[[#This Row],[Bonus]]</f>
        <v>115290</v>
      </c>
    </row>
    <row r="1005" spans="1:11" x14ac:dyDescent="0.25">
      <c r="A1005">
        <v>2004</v>
      </c>
      <c r="B1005" t="s">
        <v>1045</v>
      </c>
      <c r="C1005" t="s">
        <v>11</v>
      </c>
      <c r="D1005" t="s">
        <v>15</v>
      </c>
      <c r="E1005" t="s">
        <v>18</v>
      </c>
      <c r="F1005" t="s">
        <v>22</v>
      </c>
      <c r="G1005">
        <v>57</v>
      </c>
      <c r="H1005" s="13">
        <v>114348</v>
      </c>
      <c r="I1005" s="13">
        <v>24500</v>
      </c>
      <c r="J1005" t="s">
        <v>26</v>
      </c>
      <c r="K1005" s="13">
        <f>HR_Data[[#This Row],[Salary]]+HR_Data[[#This Row],[Bonus]]</f>
        <v>138848</v>
      </c>
    </row>
    <row r="1006" spans="1:11" x14ac:dyDescent="0.25">
      <c r="A1006">
        <v>2005</v>
      </c>
      <c r="B1006" t="s">
        <v>1046</v>
      </c>
      <c r="C1006" t="s">
        <v>8</v>
      </c>
      <c r="D1006" t="s">
        <v>14</v>
      </c>
      <c r="E1006" t="s">
        <v>20</v>
      </c>
      <c r="F1006" t="s">
        <v>21</v>
      </c>
      <c r="G1006">
        <v>39</v>
      </c>
      <c r="H1006" s="13">
        <v>44714</v>
      </c>
      <c r="I1006" s="13">
        <v>15170</v>
      </c>
      <c r="J1006" t="s">
        <v>25</v>
      </c>
      <c r="K1006" s="13">
        <f>HR_Data[[#This Row],[Salary]]+HR_Data[[#This Row],[Bonus]]</f>
        <v>59884</v>
      </c>
    </row>
    <row r="1007" spans="1:11" x14ac:dyDescent="0.25">
      <c r="A1007">
        <v>2006</v>
      </c>
      <c r="B1007" t="s">
        <v>1047</v>
      </c>
      <c r="C1007" t="s">
        <v>11</v>
      </c>
      <c r="D1007" t="s">
        <v>15</v>
      </c>
      <c r="E1007" t="s">
        <v>18</v>
      </c>
      <c r="F1007" t="s">
        <v>24</v>
      </c>
      <c r="G1007">
        <v>30</v>
      </c>
      <c r="H1007" s="13">
        <v>38890</v>
      </c>
      <c r="I1007" s="13">
        <v>14004</v>
      </c>
      <c r="J1007" t="s">
        <v>25</v>
      </c>
      <c r="K1007" s="13">
        <f>HR_Data[[#This Row],[Salary]]+HR_Data[[#This Row],[Bonus]]</f>
        <v>52894</v>
      </c>
    </row>
    <row r="1008" spans="1:11" x14ac:dyDescent="0.25">
      <c r="A1008">
        <v>2007</v>
      </c>
      <c r="B1008" t="s">
        <v>1048</v>
      </c>
      <c r="C1008" t="s">
        <v>9</v>
      </c>
      <c r="D1008" t="s">
        <v>14</v>
      </c>
      <c r="E1008" t="s">
        <v>20</v>
      </c>
      <c r="F1008" t="s">
        <v>22</v>
      </c>
      <c r="G1008">
        <v>50</v>
      </c>
      <c r="H1008" s="13">
        <v>81509</v>
      </c>
      <c r="I1008" s="13">
        <v>14978</v>
      </c>
      <c r="J1008" t="s">
        <v>25</v>
      </c>
      <c r="K1008" s="13">
        <f>HR_Data[[#This Row],[Salary]]+HR_Data[[#This Row],[Bonus]]</f>
        <v>96487</v>
      </c>
    </row>
    <row r="1009" spans="1:11" x14ac:dyDescent="0.25">
      <c r="A1009">
        <v>2008</v>
      </c>
      <c r="B1009" t="s">
        <v>1049</v>
      </c>
      <c r="C1009" t="s">
        <v>11</v>
      </c>
      <c r="D1009" t="s">
        <v>15</v>
      </c>
      <c r="E1009" t="s">
        <v>19</v>
      </c>
      <c r="F1009" t="s">
        <v>21</v>
      </c>
      <c r="G1009">
        <v>35</v>
      </c>
      <c r="H1009" s="13">
        <v>81824</v>
      </c>
      <c r="I1009" s="13">
        <v>21714</v>
      </c>
      <c r="J1009" t="s">
        <v>25</v>
      </c>
      <c r="K1009" s="13">
        <f>HR_Data[[#This Row],[Salary]]+HR_Data[[#This Row],[Bonus]]</f>
        <v>103538</v>
      </c>
    </row>
    <row r="1010" spans="1:11" x14ac:dyDescent="0.25">
      <c r="A1010">
        <v>2009</v>
      </c>
      <c r="B1010" t="s">
        <v>1050</v>
      </c>
      <c r="C1010" t="s">
        <v>27</v>
      </c>
      <c r="D1010" t="s">
        <v>15</v>
      </c>
      <c r="E1010" t="s">
        <v>20</v>
      </c>
      <c r="F1010" t="s">
        <v>22</v>
      </c>
      <c r="G1010">
        <v>46</v>
      </c>
      <c r="H1010" s="13">
        <v>24725</v>
      </c>
      <c r="I1010" s="13">
        <v>23596</v>
      </c>
      <c r="J1010" t="s">
        <v>25</v>
      </c>
      <c r="K1010" s="13">
        <f>HR_Data[[#This Row],[Salary]]+HR_Data[[#This Row],[Bonus]]</f>
        <v>48321</v>
      </c>
    </row>
    <row r="1011" spans="1:11" x14ac:dyDescent="0.25">
      <c r="A1011">
        <v>2010</v>
      </c>
      <c r="B1011" t="s">
        <v>1051</v>
      </c>
      <c r="C1011" t="s">
        <v>11</v>
      </c>
      <c r="D1011" t="s">
        <v>14</v>
      </c>
      <c r="E1011" t="s">
        <v>17</v>
      </c>
      <c r="F1011" t="s">
        <v>22</v>
      </c>
      <c r="G1011">
        <v>36</v>
      </c>
      <c r="H1011" s="13">
        <v>63205</v>
      </c>
      <c r="I1011" s="13">
        <v>26877</v>
      </c>
      <c r="J1011" t="s">
        <v>25</v>
      </c>
      <c r="K1011" s="13">
        <f>HR_Data[[#This Row],[Salary]]+HR_Data[[#This Row],[Bonus]]</f>
        <v>90082</v>
      </c>
    </row>
    <row r="1012" spans="1:11" x14ac:dyDescent="0.25">
      <c r="A1012">
        <v>2011</v>
      </c>
      <c r="B1012" t="s">
        <v>1052</v>
      </c>
      <c r="C1012" t="s">
        <v>12</v>
      </c>
      <c r="D1012" t="s">
        <v>27</v>
      </c>
      <c r="E1012" t="s">
        <v>16</v>
      </c>
      <c r="F1012" t="s">
        <v>22</v>
      </c>
      <c r="G1012">
        <v>27</v>
      </c>
      <c r="H1012" s="13">
        <v>40684</v>
      </c>
      <c r="I1012" s="13">
        <v>12232</v>
      </c>
      <c r="J1012" t="s">
        <v>26</v>
      </c>
      <c r="K1012" s="13">
        <f>HR_Data[[#This Row],[Salary]]+HR_Data[[#This Row],[Bonus]]</f>
        <v>52916</v>
      </c>
    </row>
    <row r="1013" spans="1:11" x14ac:dyDescent="0.25">
      <c r="A1013">
        <v>2012</v>
      </c>
      <c r="B1013" t="s">
        <v>1053</v>
      </c>
      <c r="C1013" t="s">
        <v>9</v>
      </c>
      <c r="D1013" t="s">
        <v>27</v>
      </c>
      <c r="E1013" t="s">
        <v>19</v>
      </c>
      <c r="F1013" t="s">
        <v>22</v>
      </c>
      <c r="G1013">
        <v>50</v>
      </c>
      <c r="H1013" s="13">
        <v>111861</v>
      </c>
      <c r="I1013" s="13">
        <v>17674</v>
      </c>
      <c r="J1013" t="s">
        <v>25</v>
      </c>
      <c r="K1013" s="13">
        <f>HR_Data[[#This Row],[Salary]]+HR_Data[[#This Row],[Bonus]]</f>
        <v>129535</v>
      </c>
    </row>
    <row r="1014" spans="1:11" x14ac:dyDescent="0.25">
      <c r="A1014">
        <v>2013</v>
      </c>
      <c r="B1014" t="s">
        <v>1054</v>
      </c>
      <c r="C1014" t="s">
        <v>9</v>
      </c>
      <c r="D1014" t="s">
        <v>14</v>
      </c>
      <c r="E1014" t="s">
        <v>19</v>
      </c>
      <c r="F1014" t="s">
        <v>22</v>
      </c>
      <c r="G1014">
        <v>36</v>
      </c>
      <c r="H1014" s="13">
        <v>77911</v>
      </c>
      <c r="I1014" s="13">
        <v>26998</v>
      </c>
      <c r="J1014" t="s">
        <v>25</v>
      </c>
      <c r="K1014" s="13">
        <f>HR_Data[[#This Row],[Salary]]+HR_Data[[#This Row],[Bonus]]</f>
        <v>104909</v>
      </c>
    </row>
    <row r="1015" spans="1:11" x14ac:dyDescent="0.25">
      <c r="A1015">
        <v>2014</v>
      </c>
      <c r="B1015" t="s">
        <v>1055</v>
      </c>
      <c r="C1015" t="s">
        <v>2042</v>
      </c>
      <c r="D1015" t="s">
        <v>15</v>
      </c>
      <c r="E1015" t="s">
        <v>17</v>
      </c>
      <c r="F1015" t="s">
        <v>21</v>
      </c>
      <c r="G1015">
        <v>50</v>
      </c>
      <c r="H1015" s="13">
        <v>118078</v>
      </c>
      <c r="I1015" s="13">
        <v>27297</v>
      </c>
      <c r="J1015" t="s">
        <v>26</v>
      </c>
      <c r="K1015" s="13">
        <f>HR_Data[[#This Row],[Salary]]+HR_Data[[#This Row],[Bonus]]</f>
        <v>145375</v>
      </c>
    </row>
    <row r="1016" spans="1:11" x14ac:dyDescent="0.25">
      <c r="A1016">
        <v>2015</v>
      </c>
      <c r="B1016" t="s">
        <v>1056</v>
      </c>
      <c r="C1016" t="s">
        <v>8</v>
      </c>
      <c r="D1016" t="s">
        <v>15</v>
      </c>
      <c r="E1016" t="s">
        <v>20</v>
      </c>
      <c r="F1016" t="s">
        <v>24</v>
      </c>
      <c r="G1016">
        <v>25</v>
      </c>
      <c r="H1016" s="13">
        <v>33092</v>
      </c>
      <c r="I1016" s="13">
        <v>21052</v>
      </c>
      <c r="J1016" t="s">
        <v>25</v>
      </c>
      <c r="K1016" s="13">
        <f>HR_Data[[#This Row],[Salary]]+HR_Data[[#This Row],[Bonus]]</f>
        <v>54144</v>
      </c>
    </row>
    <row r="1017" spans="1:11" x14ac:dyDescent="0.25">
      <c r="A1017">
        <v>2016</v>
      </c>
      <c r="B1017" t="s">
        <v>1057</v>
      </c>
      <c r="C1017" t="s">
        <v>11</v>
      </c>
      <c r="D1017" t="s">
        <v>15</v>
      </c>
      <c r="E1017" t="s">
        <v>16</v>
      </c>
      <c r="F1017" t="s">
        <v>24</v>
      </c>
      <c r="G1017">
        <v>39</v>
      </c>
      <c r="H1017" s="13">
        <v>115918</v>
      </c>
      <c r="I1017" s="13">
        <v>20774</v>
      </c>
      <c r="J1017" t="s">
        <v>25</v>
      </c>
      <c r="K1017" s="13">
        <f>HR_Data[[#This Row],[Salary]]+HR_Data[[#This Row],[Bonus]]</f>
        <v>136692</v>
      </c>
    </row>
    <row r="1018" spans="1:11" x14ac:dyDescent="0.25">
      <c r="A1018">
        <v>2017</v>
      </c>
      <c r="B1018" t="s">
        <v>1058</v>
      </c>
      <c r="C1018" t="s">
        <v>10</v>
      </c>
      <c r="D1018" t="s">
        <v>14</v>
      </c>
      <c r="E1018" t="s">
        <v>20</v>
      </c>
      <c r="F1018" t="s">
        <v>24</v>
      </c>
      <c r="G1018">
        <v>37</v>
      </c>
      <c r="H1018" s="13">
        <v>59770</v>
      </c>
      <c r="I1018" s="13">
        <v>10913</v>
      </c>
      <c r="J1018" t="s">
        <v>25</v>
      </c>
      <c r="K1018" s="13">
        <f>HR_Data[[#This Row],[Salary]]+HR_Data[[#This Row],[Bonus]]</f>
        <v>70683</v>
      </c>
    </row>
    <row r="1019" spans="1:11" x14ac:dyDescent="0.25">
      <c r="A1019">
        <v>2018</v>
      </c>
      <c r="B1019" t="s">
        <v>1059</v>
      </c>
      <c r="C1019" t="s">
        <v>8</v>
      </c>
      <c r="D1019" t="s">
        <v>14</v>
      </c>
      <c r="E1019" t="s">
        <v>18</v>
      </c>
      <c r="F1019" t="s">
        <v>24</v>
      </c>
      <c r="G1019">
        <v>32</v>
      </c>
      <c r="H1019" s="13">
        <v>45457</v>
      </c>
      <c r="I1019" s="13">
        <v>19102</v>
      </c>
      <c r="J1019" t="s">
        <v>25</v>
      </c>
      <c r="K1019" s="13">
        <f>HR_Data[[#This Row],[Salary]]+HR_Data[[#This Row],[Bonus]]</f>
        <v>64559</v>
      </c>
    </row>
    <row r="1020" spans="1:11" x14ac:dyDescent="0.25">
      <c r="A1020">
        <v>2019</v>
      </c>
      <c r="B1020" t="s">
        <v>1060</v>
      </c>
      <c r="C1020" t="s">
        <v>27</v>
      </c>
      <c r="D1020" t="s">
        <v>15</v>
      </c>
      <c r="E1020" t="s">
        <v>20</v>
      </c>
      <c r="F1020" t="s">
        <v>21</v>
      </c>
      <c r="G1020">
        <v>35</v>
      </c>
      <c r="H1020" s="13">
        <v>91667</v>
      </c>
      <c r="I1020" s="13">
        <v>20389</v>
      </c>
      <c r="J1020" t="s">
        <v>25</v>
      </c>
      <c r="K1020" s="13">
        <f>HR_Data[[#This Row],[Salary]]+HR_Data[[#This Row],[Bonus]]</f>
        <v>112056</v>
      </c>
    </row>
    <row r="1021" spans="1:11" x14ac:dyDescent="0.25">
      <c r="A1021">
        <v>2020</v>
      </c>
      <c r="B1021" t="s">
        <v>1061</v>
      </c>
      <c r="C1021" t="s">
        <v>9</v>
      </c>
      <c r="D1021" t="s">
        <v>14</v>
      </c>
      <c r="E1021" t="s">
        <v>19</v>
      </c>
      <c r="F1021" t="s">
        <v>23</v>
      </c>
      <c r="G1021">
        <v>24</v>
      </c>
      <c r="H1021" s="13">
        <v>110751</v>
      </c>
      <c r="I1021" s="13">
        <v>15567</v>
      </c>
      <c r="J1021" t="s">
        <v>25</v>
      </c>
      <c r="K1021" s="13">
        <f>HR_Data[[#This Row],[Salary]]+HR_Data[[#This Row],[Bonus]]</f>
        <v>126318</v>
      </c>
    </row>
    <row r="1022" spans="1:11" x14ac:dyDescent="0.25">
      <c r="A1022">
        <v>2021</v>
      </c>
      <c r="B1022" t="s">
        <v>1062</v>
      </c>
      <c r="C1022" t="s">
        <v>8</v>
      </c>
      <c r="D1022" t="s">
        <v>15</v>
      </c>
      <c r="E1022" t="s">
        <v>16</v>
      </c>
      <c r="F1022" t="s">
        <v>23</v>
      </c>
      <c r="G1022">
        <v>59</v>
      </c>
      <c r="H1022" s="13">
        <v>82894</v>
      </c>
      <c r="I1022" s="13">
        <v>10611</v>
      </c>
      <c r="J1022" t="s">
        <v>26</v>
      </c>
      <c r="K1022" s="13">
        <f>HR_Data[[#This Row],[Salary]]+HR_Data[[#This Row],[Bonus]]</f>
        <v>93505</v>
      </c>
    </row>
    <row r="1023" spans="1:11" x14ac:dyDescent="0.25">
      <c r="A1023">
        <v>2022</v>
      </c>
      <c r="B1023" t="s">
        <v>1063</v>
      </c>
      <c r="C1023" t="s">
        <v>11</v>
      </c>
      <c r="D1023" t="s">
        <v>15</v>
      </c>
      <c r="E1023" t="s">
        <v>20</v>
      </c>
      <c r="F1023" t="s">
        <v>21</v>
      </c>
      <c r="G1023">
        <v>39</v>
      </c>
      <c r="H1023" s="13">
        <v>81305</v>
      </c>
      <c r="I1023" s="13">
        <v>14432</v>
      </c>
      <c r="J1023" t="s">
        <v>25</v>
      </c>
      <c r="K1023" s="13">
        <f>HR_Data[[#This Row],[Salary]]+HR_Data[[#This Row],[Bonus]]</f>
        <v>95737</v>
      </c>
    </row>
    <row r="1024" spans="1:11" x14ac:dyDescent="0.25">
      <c r="A1024">
        <v>2023</v>
      </c>
      <c r="B1024" t="s">
        <v>1064</v>
      </c>
      <c r="C1024" t="s">
        <v>11</v>
      </c>
      <c r="D1024" t="s">
        <v>15</v>
      </c>
      <c r="E1024" t="s">
        <v>16</v>
      </c>
      <c r="F1024" t="s">
        <v>21</v>
      </c>
      <c r="G1024">
        <v>41</v>
      </c>
      <c r="H1024" s="13">
        <v>32612</v>
      </c>
      <c r="I1024" s="13">
        <v>5319</v>
      </c>
      <c r="J1024" t="s">
        <v>26</v>
      </c>
      <c r="K1024" s="13">
        <f>HR_Data[[#This Row],[Salary]]+HR_Data[[#This Row],[Bonus]]</f>
        <v>37931</v>
      </c>
    </row>
    <row r="1025" spans="1:11" x14ac:dyDescent="0.25">
      <c r="A1025">
        <v>2024</v>
      </c>
      <c r="B1025" t="s">
        <v>1065</v>
      </c>
      <c r="C1025" t="s">
        <v>12</v>
      </c>
      <c r="D1025" t="s">
        <v>15</v>
      </c>
      <c r="E1025" t="s">
        <v>16</v>
      </c>
      <c r="F1025" t="s">
        <v>22</v>
      </c>
      <c r="G1025">
        <v>46</v>
      </c>
      <c r="H1025" s="13">
        <v>98627</v>
      </c>
      <c r="I1025" s="13">
        <v>29469</v>
      </c>
      <c r="J1025" t="s">
        <v>25</v>
      </c>
      <c r="K1025" s="13">
        <f>HR_Data[[#This Row],[Salary]]+HR_Data[[#This Row],[Bonus]]</f>
        <v>128096</v>
      </c>
    </row>
    <row r="1026" spans="1:11" x14ac:dyDescent="0.25">
      <c r="A1026">
        <v>2025</v>
      </c>
      <c r="B1026" t="s">
        <v>1066</v>
      </c>
      <c r="C1026" t="s">
        <v>11</v>
      </c>
      <c r="D1026" t="s">
        <v>15</v>
      </c>
      <c r="E1026" t="s">
        <v>18</v>
      </c>
      <c r="F1026" t="s">
        <v>22</v>
      </c>
      <c r="G1026">
        <v>59</v>
      </c>
      <c r="H1026" s="13">
        <v>57089</v>
      </c>
      <c r="I1026" s="13">
        <v>17686</v>
      </c>
      <c r="J1026" t="s">
        <v>25</v>
      </c>
      <c r="K1026" s="13">
        <f>HR_Data[[#This Row],[Salary]]+HR_Data[[#This Row],[Bonus]]</f>
        <v>74775</v>
      </c>
    </row>
    <row r="1027" spans="1:11" x14ac:dyDescent="0.25">
      <c r="A1027">
        <v>2026</v>
      </c>
      <c r="B1027" t="s">
        <v>1067</v>
      </c>
      <c r="C1027" t="s">
        <v>11</v>
      </c>
      <c r="D1027" t="s">
        <v>14</v>
      </c>
      <c r="E1027" t="s">
        <v>18</v>
      </c>
      <c r="F1027" t="s">
        <v>22</v>
      </c>
      <c r="G1027">
        <v>34</v>
      </c>
      <c r="H1027" s="13">
        <v>115295</v>
      </c>
      <c r="I1027" s="13">
        <v>25584</v>
      </c>
      <c r="J1027" t="s">
        <v>25</v>
      </c>
      <c r="K1027" s="13">
        <f>HR_Data[[#This Row],[Salary]]+HR_Data[[#This Row],[Bonus]]</f>
        <v>140879</v>
      </c>
    </row>
    <row r="1028" spans="1:11" x14ac:dyDescent="0.25">
      <c r="A1028">
        <v>2027</v>
      </c>
      <c r="B1028" t="s">
        <v>1068</v>
      </c>
      <c r="C1028" t="s">
        <v>9</v>
      </c>
      <c r="D1028" t="s">
        <v>15</v>
      </c>
      <c r="E1028" t="s">
        <v>19</v>
      </c>
      <c r="F1028" t="s">
        <v>24</v>
      </c>
      <c r="G1028">
        <v>25</v>
      </c>
      <c r="H1028" s="13">
        <v>72137</v>
      </c>
      <c r="I1028" s="13">
        <v>9791</v>
      </c>
      <c r="J1028" t="s">
        <v>25</v>
      </c>
      <c r="K1028" s="13">
        <f>HR_Data[[#This Row],[Salary]]+HR_Data[[#This Row],[Bonus]]</f>
        <v>81928</v>
      </c>
    </row>
    <row r="1029" spans="1:11" x14ac:dyDescent="0.25">
      <c r="A1029">
        <v>2028</v>
      </c>
      <c r="B1029" t="s">
        <v>1069</v>
      </c>
      <c r="C1029" t="s">
        <v>11</v>
      </c>
      <c r="D1029" t="s">
        <v>14</v>
      </c>
      <c r="E1029" t="s">
        <v>17</v>
      </c>
      <c r="F1029" t="s">
        <v>22</v>
      </c>
      <c r="G1029">
        <v>35</v>
      </c>
      <c r="H1029" s="13">
        <v>20559</v>
      </c>
      <c r="I1029" s="13">
        <v>5329</v>
      </c>
      <c r="J1029" t="s">
        <v>25</v>
      </c>
      <c r="K1029" s="13">
        <f>HR_Data[[#This Row],[Salary]]+HR_Data[[#This Row],[Bonus]]</f>
        <v>25888</v>
      </c>
    </row>
    <row r="1030" spans="1:11" x14ac:dyDescent="0.25">
      <c r="A1030">
        <v>2029</v>
      </c>
      <c r="B1030" t="s">
        <v>1070</v>
      </c>
      <c r="C1030" t="s">
        <v>12</v>
      </c>
      <c r="D1030" t="s">
        <v>14</v>
      </c>
      <c r="E1030" t="s">
        <v>16</v>
      </c>
      <c r="F1030" t="s">
        <v>23</v>
      </c>
      <c r="G1030">
        <v>54</v>
      </c>
      <c r="H1030" s="13">
        <v>86249</v>
      </c>
      <c r="I1030" s="13">
        <v>13851</v>
      </c>
      <c r="J1030" t="s">
        <v>25</v>
      </c>
      <c r="K1030" s="13">
        <f>HR_Data[[#This Row],[Salary]]+HR_Data[[#This Row],[Bonus]]</f>
        <v>100100</v>
      </c>
    </row>
    <row r="1031" spans="1:11" x14ac:dyDescent="0.25">
      <c r="A1031">
        <v>2030</v>
      </c>
      <c r="B1031" t="s">
        <v>1071</v>
      </c>
      <c r="C1031" t="s">
        <v>10</v>
      </c>
      <c r="D1031" t="s">
        <v>15</v>
      </c>
      <c r="E1031" t="s">
        <v>17</v>
      </c>
      <c r="F1031" t="s">
        <v>24</v>
      </c>
      <c r="G1031">
        <v>49</v>
      </c>
      <c r="H1031" s="13">
        <v>57361</v>
      </c>
      <c r="I1031" s="13">
        <v>16310</v>
      </c>
      <c r="J1031" t="s">
        <v>27</v>
      </c>
      <c r="K1031" s="13">
        <f>HR_Data[[#This Row],[Salary]]+HR_Data[[#This Row],[Bonus]]</f>
        <v>73671</v>
      </c>
    </row>
    <row r="1032" spans="1:11" x14ac:dyDescent="0.25">
      <c r="A1032">
        <v>2031</v>
      </c>
      <c r="B1032" t="s">
        <v>1072</v>
      </c>
      <c r="C1032" t="s">
        <v>9</v>
      </c>
      <c r="D1032" t="s">
        <v>15</v>
      </c>
      <c r="E1032" t="s">
        <v>19</v>
      </c>
      <c r="F1032" t="s">
        <v>22</v>
      </c>
      <c r="G1032">
        <v>58</v>
      </c>
      <c r="H1032" s="13">
        <v>100720</v>
      </c>
      <c r="I1032" s="13">
        <v>28126</v>
      </c>
      <c r="J1032" t="s">
        <v>25</v>
      </c>
      <c r="K1032" s="13">
        <f>HR_Data[[#This Row],[Salary]]+HR_Data[[#This Row],[Bonus]]</f>
        <v>128846</v>
      </c>
    </row>
    <row r="1033" spans="1:11" x14ac:dyDescent="0.25">
      <c r="A1033">
        <v>2032</v>
      </c>
      <c r="B1033" t="s">
        <v>1073</v>
      </c>
      <c r="C1033" t="s">
        <v>10</v>
      </c>
      <c r="D1033" t="s">
        <v>14</v>
      </c>
      <c r="E1033" t="s">
        <v>16</v>
      </c>
      <c r="F1033" t="s">
        <v>24</v>
      </c>
      <c r="G1033">
        <v>29</v>
      </c>
      <c r="H1033" s="13">
        <v>35261</v>
      </c>
      <c r="I1033" s="13">
        <v>26300</v>
      </c>
      <c r="J1033" t="s">
        <v>25</v>
      </c>
      <c r="K1033" s="13">
        <f>HR_Data[[#This Row],[Salary]]+HR_Data[[#This Row],[Bonus]]</f>
        <v>61561</v>
      </c>
    </row>
    <row r="1034" spans="1:11" x14ac:dyDescent="0.25">
      <c r="A1034">
        <v>2033</v>
      </c>
      <c r="B1034" t="s">
        <v>1074</v>
      </c>
      <c r="C1034" t="s">
        <v>9</v>
      </c>
      <c r="D1034" t="s">
        <v>14</v>
      </c>
      <c r="E1034" t="s">
        <v>16</v>
      </c>
      <c r="F1034" t="s">
        <v>23</v>
      </c>
      <c r="G1034">
        <v>55</v>
      </c>
      <c r="H1034" s="13">
        <v>40372</v>
      </c>
      <c r="I1034" s="13">
        <v>15164</v>
      </c>
      <c r="J1034" t="s">
        <v>26</v>
      </c>
      <c r="K1034" s="13">
        <f>HR_Data[[#This Row],[Salary]]+HR_Data[[#This Row],[Bonus]]</f>
        <v>55536</v>
      </c>
    </row>
    <row r="1035" spans="1:11" x14ac:dyDescent="0.25">
      <c r="A1035">
        <v>2034</v>
      </c>
      <c r="B1035" t="s">
        <v>1075</v>
      </c>
      <c r="C1035" t="s">
        <v>2042</v>
      </c>
      <c r="D1035" t="s">
        <v>14</v>
      </c>
      <c r="E1035" t="s">
        <v>17</v>
      </c>
      <c r="F1035" t="s">
        <v>22</v>
      </c>
      <c r="G1035">
        <v>26</v>
      </c>
      <c r="H1035" s="13">
        <v>75355</v>
      </c>
      <c r="I1035" s="13">
        <v>23177</v>
      </c>
      <c r="J1035" t="s">
        <v>25</v>
      </c>
      <c r="K1035" s="13">
        <f>HR_Data[[#This Row],[Salary]]+HR_Data[[#This Row],[Bonus]]</f>
        <v>98532</v>
      </c>
    </row>
    <row r="1036" spans="1:11" x14ac:dyDescent="0.25">
      <c r="A1036">
        <v>2035</v>
      </c>
      <c r="B1036" t="s">
        <v>1076</v>
      </c>
      <c r="C1036" t="s">
        <v>8</v>
      </c>
      <c r="D1036" t="s">
        <v>15</v>
      </c>
      <c r="E1036" t="s">
        <v>20</v>
      </c>
      <c r="F1036" t="s">
        <v>23</v>
      </c>
      <c r="G1036">
        <v>26</v>
      </c>
      <c r="H1036" s="13">
        <v>117676</v>
      </c>
      <c r="I1036" s="13">
        <v>27841</v>
      </c>
      <c r="J1036" t="s">
        <v>25</v>
      </c>
      <c r="K1036" s="13">
        <f>HR_Data[[#This Row],[Salary]]+HR_Data[[#This Row],[Bonus]]</f>
        <v>145517</v>
      </c>
    </row>
    <row r="1037" spans="1:11" x14ac:dyDescent="0.25">
      <c r="A1037">
        <v>2036</v>
      </c>
      <c r="B1037" t="s">
        <v>1077</v>
      </c>
      <c r="C1037" t="s">
        <v>2042</v>
      </c>
      <c r="D1037" t="s">
        <v>14</v>
      </c>
      <c r="E1037" t="s">
        <v>18</v>
      </c>
      <c r="F1037" t="s">
        <v>23</v>
      </c>
      <c r="G1037">
        <v>52</v>
      </c>
      <c r="H1037" s="13">
        <v>118560</v>
      </c>
      <c r="I1037" s="13">
        <v>29509</v>
      </c>
      <c r="J1037" t="s">
        <v>26</v>
      </c>
      <c r="K1037" s="13">
        <f>HR_Data[[#This Row],[Salary]]+HR_Data[[#This Row],[Bonus]]</f>
        <v>148069</v>
      </c>
    </row>
    <row r="1038" spans="1:11" x14ac:dyDescent="0.25">
      <c r="A1038">
        <v>2037</v>
      </c>
      <c r="B1038" t="s">
        <v>1078</v>
      </c>
      <c r="C1038" t="s">
        <v>11</v>
      </c>
      <c r="D1038" t="s">
        <v>15</v>
      </c>
      <c r="E1038" t="s">
        <v>20</v>
      </c>
      <c r="F1038" t="s">
        <v>23</v>
      </c>
      <c r="G1038">
        <v>30</v>
      </c>
      <c r="H1038" s="13">
        <v>77920</v>
      </c>
      <c r="I1038" s="13">
        <v>10703</v>
      </c>
      <c r="J1038" t="s">
        <v>25</v>
      </c>
      <c r="K1038" s="13">
        <f>HR_Data[[#This Row],[Salary]]+HR_Data[[#This Row],[Bonus]]</f>
        <v>88623</v>
      </c>
    </row>
    <row r="1039" spans="1:11" x14ac:dyDescent="0.25">
      <c r="A1039">
        <v>2038</v>
      </c>
      <c r="B1039" t="s">
        <v>1079</v>
      </c>
      <c r="C1039" t="s">
        <v>10</v>
      </c>
      <c r="D1039" t="s">
        <v>15</v>
      </c>
      <c r="E1039" t="s">
        <v>17</v>
      </c>
      <c r="F1039" t="s">
        <v>22</v>
      </c>
      <c r="G1039">
        <v>53</v>
      </c>
      <c r="H1039" s="13">
        <v>69554.53</v>
      </c>
      <c r="I1039" s="13">
        <v>15649</v>
      </c>
      <c r="J1039" t="s">
        <v>25</v>
      </c>
      <c r="K1039" s="13">
        <f>HR_Data[[#This Row],[Salary]]+HR_Data[[#This Row],[Bonus]]</f>
        <v>85203.53</v>
      </c>
    </row>
    <row r="1040" spans="1:11" x14ac:dyDescent="0.25">
      <c r="A1040">
        <v>2039</v>
      </c>
      <c r="B1040" t="s">
        <v>1080</v>
      </c>
      <c r="C1040" t="s">
        <v>11</v>
      </c>
      <c r="D1040" t="s">
        <v>15</v>
      </c>
      <c r="E1040" t="s">
        <v>18</v>
      </c>
      <c r="F1040" t="s">
        <v>21</v>
      </c>
      <c r="G1040">
        <v>54</v>
      </c>
      <c r="H1040" s="13">
        <v>20037</v>
      </c>
      <c r="I1040" s="13">
        <v>27554</v>
      </c>
      <c r="J1040" t="s">
        <v>25</v>
      </c>
      <c r="K1040" s="13">
        <f>HR_Data[[#This Row],[Salary]]+HR_Data[[#This Row],[Bonus]]</f>
        <v>47591</v>
      </c>
    </row>
    <row r="1041" spans="1:11" x14ac:dyDescent="0.25">
      <c r="A1041">
        <v>2040</v>
      </c>
      <c r="B1041" t="s">
        <v>1081</v>
      </c>
      <c r="C1041" t="s">
        <v>2042</v>
      </c>
      <c r="D1041" t="s">
        <v>14</v>
      </c>
      <c r="E1041" t="s">
        <v>20</v>
      </c>
      <c r="F1041" t="s">
        <v>22</v>
      </c>
      <c r="G1041">
        <v>24</v>
      </c>
      <c r="H1041" s="13">
        <v>63032</v>
      </c>
      <c r="I1041" s="13">
        <v>28028</v>
      </c>
      <c r="J1041" t="s">
        <v>25</v>
      </c>
      <c r="K1041" s="13">
        <f>HR_Data[[#This Row],[Salary]]+HR_Data[[#This Row],[Bonus]]</f>
        <v>91060</v>
      </c>
    </row>
    <row r="1042" spans="1:11" x14ac:dyDescent="0.25">
      <c r="A1042">
        <v>2041</v>
      </c>
      <c r="B1042" t="s">
        <v>1082</v>
      </c>
      <c r="C1042" t="s">
        <v>9</v>
      </c>
      <c r="D1042" t="s">
        <v>15</v>
      </c>
      <c r="E1042" t="s">
        <v>18</v>
      </c>
      <c r="F1042" t="s">
        <v>23</v>
      </c>
      <c r="G1042">
        <v>51</v>
      </c>
      <c r="H1042" s="13">
        <v>98233</v>
      </c>
      <c r="I1042" s="13">
        <v>28804</v>
      </c>
      <c r="J1042" t="s">
        <v>25</v>
      </c>
      <c r="K1042" s="13">
        <f>HR_Data[[#This Row],[Salary]]+HR_Data[[#This Row],[Bonus]]</f>
        <v>127037</v>
      </c>
    </row>
    <row r="1043" spans="1:11" x14ac:dyDescent="0.25">
      <c r="A1043">
        <v>2042</v>
      </c>
      <c r="B1043" t="s">
        <v>1083</v>
      </c>
      <c r="C1043" t="s">
        <v>8</v>
      </c>
      <c r="D1043" t="s">
        <v>15</v>
      </c>
      <c r="E1043" t="s">
        <v>16</v>
      </c>
      <c r="F1043" t="s">
        <v>22</v>
      </c>
      <c r="G1043">
        <v>33</v>
      </c>
      <c r="H1043" s="13">
        <v>61420</v>
      </c>
      <c r="I1043" s="13">
        <v>17672</v>
      </c>
      <c r="J1043" t="s">
        <v>25</v>
      </c>
      <c r="K1043" s="13">
        <f>HR_Data[[#This Row],[Salary]]+HR_Data[[#This Row],[Bonus]]</f>
        <v>79092</v>
      </c>
    </row>
    <row r="1044" spans="1:11" x14ac:dyDescent="0.25">
      <c r="A1044">
        <v>2043</v>
      </c>
      <c r="B1044" t="s">
        <v>1084</v>
      </c>
      <c r="C1044" t="s">
        <v>12</v>
      </c>
      <c r="D1044" t="s">
        <v>15</v>
      </c>
      <c r="E1044" t="s">
        <v>20</v>
      </c>
      <c r="F1044" t="s">
        <v>23</v>
      </c>
      <c r="G1044">
        <v>50</v>
      </c>
      <c r="H1044" s="13">
        <v>117243</v>
      </c>
      <c r="I1044" s="13">
        <v>9155</v>
      </c>
      <c r="J1044" t="s">
        <v>25</v>
      </c>
      <c r="K1044" s="13">
        <f>HR_Data[[#This Row],[Salary]]+HR_Data[[#This Row],[Bonus]]</f>
        <v>126398</v>
      </c>
    </row>
    <row r="1045" spans="1:11" x14ac:dyDescent="0.25">
      <c r="A1045">
        <v>2044</v>
      </c>
      <c r="B1045" t="s">
        <v>1085</v>
      </c>
      <c r="C1045" t="s">
        <v>8</v>
      </c>
      <c r="D1045" t="s">
        <v>15</v>
      </c>
      <c r="E1045" t="s">
        <v>18</v>
      </c>
      <c r="F1045" t="s">
        <v>21</v>
      </c>
      <c r="G1045">
        <v>24</v>
      </c>
      <c r="H1045" s="13">
        <v>111552</v>
      </c>
      <c r="I1045" s="13">
        <v>29795</v>
      </c>
      <c r="J1045" t="s">
        <v>26</v>
      </c>
      <c r="K1045" s="13">
        <f>HR_Data[[#This Row],[Salary]]+HR_Data[[#This Row],[Bonus]]</f>
        <v>141347</v>
      </c>
    </row>
    <row r="1046" spans="1:11" x14ac:dyDescent="0.25">
      <c r="A1046">
        <v>2045</v>
      </c>
      <c r="B1046" t="s">
        <v>1086</v>
      </c>
      <c r="C1046" t="s">
        <v>12</v>
      </c>
      <c r="D1046" t="s">
        <v>15</v>
      </c>
      <c r="E1046" t="s">
        <v>18</v>
      </c>
      <c r="F1046" t="s">
        <v>24</v>
      </c>
      <c r="G1046">
        <v>47</v>
      </c>
      <c r="H1046" s="13">
        <v>54600</v>
      </c>
      <c r="I1046" s="13">
        <v>7611</v>
      </c>
      <c r="J1046" t="s">
        <v>25</v>
      </c>
      <c r="K1046" s="13">
        <f>HR_Data[[#This Row],[Salary]]+HR_Data[[#This Row],[Bonus]]</f>
        <v>62211</v>
      </c>
    </row>
    <row r="1047" spans="1:11" x14ac:dyDescent="0.25">
      <c r="A1047">
        <v>2046</v>
      </c>
      <c r="B1047" t="s">
        <v>1087</v>
      </c>
      <c r="C1047" t="s">
        <v>8</v>
      </c>
      <c r="D1047" t="s">
        <v>14</v>
      </c>
      <c r="E1047" t="s">
        <v>18</v>
      </c>
      <c r="F1047" t="s">
        <v>21</v>
      </c>
      <c r="G1047">
        <v>51</v>
      </c>
      <c r="H1047" s="13">
        <v>68285</v>
      </c>
      <c r="I1047" s="13">
        <v>27075</v>
      </c>
      <c r="J1047" t="s">
        <v>25</v>
      </c>
      <c r="K1047" s="13">
        <f>HR_Data[[#This Row],[Salary]]+HR_Data[[#This Row],[Bonus]]</f>
        <v>95360</v>
      </c>
    </row>
    <row r="1048" spans="1:11" x14ac:dyDescent="0.25">
      <c r="A1048">
        <v>2047</v>
      </c>
      <c r="B1048" t="s">
        <v>1088</v>
      </c>
      <c r="C1048" t="s">
        <v>12</v>
      </c>
      <c r="D1048" t="s">
        <v>15</v>
      </c>
      <c r="E1048" t="s">
        <v>20</v>
      </c>
      <c r="F1048" t="s">
        <v>21</v>
      </c>
      <c r="G1048">
        <v>30</v>
      </c>
      <c r="H1048" s="13">
        <v>82008</v>
      </c>
      <c r="I1048" s="13">
        <v>23977</v>
      </c>
      <c r="J1048" t="s">
        <v>25</v>
      </c>
      <c r="K1048" s="13">
        <f>HR_Data[[#This Row],[Salary]]+HR_Data[[#This Row],[Bonus]]</f>
        <v>105985</v>
      </c>
    </row>
    <row r="1049" spans="1:11" x14ac:dyDescent="0.25">
      <c r="A1049">
        <v>2048</v>
      </c>
      <c r="B1049" t="s">
        <v>1089</v>
      </c>
      <c r="C1049" t="s">
        <v>10</v>
      </c>
      <c r="D1049" t="s">
        <v>15</v>
      </c>
      <c r="E1049" t="s">
        <v>19</v>
      </c>
      <c r="F1049" t="s">
        <v>24</v>
      </c>
      <c r="G1049">
        <v>47</v>
      </c>
      <c r="H1049" s="13">
        <v>109520</v>
      </c>
      <c r="I1049" s="13">
        <v>21479</v>
      </c>
      <c r="J1049" t="s">
        <v>25</v>
      </c>
      <c r="K1049" s="13">
        <f>HR_Data[[#This Row],[Salary]]+HR_Data[[#This Row],[Bonus]]</f>
        <v>130999</v>
      </c>
    </row>
    <row r="1050" spans="1:11" x14ac:dyDescent="0.25">
      <c r="A1050">
        <v>2049</v>
      </c>
      <c r="B1050" t="s">
        <v>1090</v>
      </c>
      <c r="C1050" t="s">
        <v>11</v>
      </c>
      <c r="D1050" t="s">
        <v>14</v>
      </c>
      <c r="E1050" t="s">
        <v>20</v>
      </c>
      <c r="F1050" t="s">
        <v>22</v>
      </c>
      <c r="G1050">
        <v>23</v>
      </c>
      <c r="H1050" s="13">
        <v>25167</v>
      </c>
      <c r="I1050" s="13">
        <v>14180</v>
      </c>
      <c r="J1050" t="s">
        <v>25</v>
      </c>
      <c r="K1050" s="13">
        <f>HR_Data[[#This Row],[Salary]]+HR_Data[[#This Row],[Bonus]]</f>
        <v>39347</v>
      </c>
    </row>
    <row r="1051" spans="1:11" x14ac:dyDescent="0.25">
      <c r="A1051">
        <v>2050</v>
      </c>
      <c r="B1051" t="s">
        <v>1091</v>
      </c>
      <c r="C1051" t="s">
        <v>11</v>
      </c>
      <c r="D1051" t="s">
        <v>15</v>
      </c>
      <c r="E1051" t="s">
        <v>17</v>
      </c>
      <c r="F1051" t="s">
        <v>24</v>
      </c>
      <c r="G1051">
        <v>24</v>
      </c>
      <c r="H1051" s="13">
        <v>20432</v>
      </c>
      <c r="I1051" s="13">
        <v>14304</v>
      </c>
      <c r="J1051" t="s">
        <v>26</v>
      </c>
      <c r="K1051" s="13">
        <f>HR_Data[[#This Row],[Salary]]+HR_Data[[#This Row],[Bonus]]</f>
        <v>34736</v>
      </c>
    </row>
    <row r="1052" spans="1:11" x14ac:dyDescent="0.25">
      <c r="A1052">
        <v>2051</v>
      </c>
      <c r="B1052" t="s">
        <v>1092</v>
      </c>
      <c r="C1052" t="s">
        <v>2042</v>
      </c>
      <c r="D1052" t="s">
        <v>14</v>
      </c>
      <c r="E1052" t="s">
        <v>20</v>
      </c>
      <c r="F1052" t="s">
        <v>22</v>
      </c>
      <c r="G1052">
        <v>25</v>
      </c>
      <c r="H1052" s="13">
        <v>89687</v>
      </c>
      <c r="I1052" s="13">
        <v>27425</v>
      </c>
      <c r="J1052" t="s">
        <v>25</v>
      </c>
      <c r="K1052" s="13">
        <f>HR_Data[[#This Row],[Salary]]+HR_Data[[#This Row],[Bonus]]</f>
        <v>117112</v>
      </c>
    </row>
    <row r="1053" spans="1:11" x14ac:dyDescent="0.25">
      <c r="A1053">
        <v>2052</v>
      </c>
      <c r="B1053" t="s">
        <v>1093</v>
      </c>
      <c r="C1053" t="s">
        <v>11</v>
      </c>
      <c r="D1053" t="s">
        <v>15</v>
      </c>
      <c r="E1053" t="s">
        <v>18</v>
      </c>
      <c r="F1053" t="s">
        <v>22</v>
      </c>
      <c r="G1053">
        <v>46</v>
      </c>
      <c r="H1053" s="13">
        <v>91947</v>
      </c>
      <c r="I1053" s="13">
        <v>26447</v>
      </c>
      <c r="J1053" t="s">
        <v>26</v>
      </c>
      <c r="K1053" s="13">
        <f>HR_Data[[#This Row],[Salary]]+HR_Data[[#This Row],[Bonus]]</f>
        <v>118394</v>
      </c>
    </row>
    <row r="1054" spans="1:11" x14ac:dyDescent="0.25">
      <c r="A1054">
        <v>2053</v>
      </c>
      <c r="B1054" t="s">
        <v>1094</v>
      </c>
      <c r="C1054" t="s">
        <v>9</v>
      </c>
      <c r="D1054" t="s">
        <v>14</v>
      </c>
      <c r="E1054" t="s">
        <v>16</v>
      </c>
      <c r="F1054" t="s">
        <v>23</v>
      </c>
      <c r="G1054">
        <v>34</v>
      </c>
      <c r="H1054" s="13">
        <v>116324</v>
      </c>
      <c r="I1054" s="13">
        <v>19610</v>
      </c>
      <c r="J1054" t="s">
        <v>26</v>
      </c>
      <c r="K1054" s="13">
        <f>HR_Data[[#This Row],[Salary]]+HR_Data[[#This Row],[Bonus]]</f>
        <v>135934</v>
      </c>
    </row>
    <row r="1055" spans="1:11" x14ac:dyDescent="0.25">
      <c r="A1055">
        <v>2054</v>
      </c>
      <c r="B1055" t="s">
        <v>1095</v>
      </c>
      <c r="C1055" t="s">
        <v>8</v>
      </c>
      <c r="D1055" t="s">
        <v>14</v>
      </c>
      <c r="E1055" t="s">
        <v>20</v>
      </c>
      <c r="F1055" t="s">
        <v>23</v>
      </c>
      <c r="G1055">
        <v>56</v>
      </c>
      <c r="H1055" s="13">
        <v>70903</v>
      </c>
      <c r="I1055" s="13">
        <v>13437</v>
      </c>
      <c r="J1055" t="s">
        <v>26</v>
      </c>
      <c r="K1055" s="13">
        <f>HR_Data[[#This Row],[Salary]]+HR_Data[[#This Row],[Bonus]]</f>
        <v>84340</v>
      </c>
    </row>
    <row r="1056" spans="1:11" x14ac:dyDescent="0.25">
      <c r="A1056">
        <v>2055</v>
      </c>
      <c r="B1056" t="s">
        <v>1096</v>
      </c>
      <c r="C1056" t="s">
        <v>2042</v>
      </c>
      <c r="D1056" t="s">
        <v>15</v>
      </c>
      <c r="E1056" t="s">
        <v>20</v>
      </c>
      <c r="F1056" t="s">
        <v>24</v>
      </c>
      <c r="G1056">
        <v>44</v>
      </c>
      <c r="H1056" s="13">
        <v>112159</v>
      </c>
      <c r="I1056" s="13">
        <v>15350</v>
      </c>
      <c r="J1056" t="s">
        <v>25</v>
      </c>
      <c r="K1056" s="13">
        <f>HR_Data[[#This Row],[Salary]]+HR_Data[[#This Row],[Bonus]]</f>
        <v>127509</v>
      </c>
    </row>
    <row r="1057" spans="1:11" x14ac:dyDescent="0.25">
      <c r="A1057">
        <v>2056</v>
      </c>
      <c r="B1057" t="s">
        <v>1097</v>
      </c>
      <c r="C1057" t="s">
        <v>9</v>
      </c>
      <c r="D1057" t="s">
        <v>15</v>
      </c>
      <c r="E1057" t="s">
        <v>18</v>
      </c>
      <c r="F1057" t="s">
        <v>21</v>
      </c>
      <c r="G1057">
        <v>30</v>
      </c>
      <c r="H1057" s="13">
        <v>74149</v>
      </c>
      <c r="I1057" s="13">
        <v>17521</v>
      </c>
      <c r="J1057" t="s">
        <v>25</v>
      </c>
      <c r="K1057" s="13">
        <f>HR_Data[[#This Row],[Salary]]+HR_Data[[#This Row],[Bonus]]</f>
        <v>91670</v>
      </c>
    </row>
    <row r="1058" spans="1:11" x14ac:dyDescent="0.25">
      <c r="A1058">
        <v>2057</v>
      </c>
      <c r="B1058" t="s">
        <v>1098</v>
      </c>
      <c r="C1058" t="s">
        <v>9</v>
      </c>
      <c r="D1058" t="s">
        <v>15</v>
      </c>
      <c r="E1058" t="s">
        <v>16</v>
      </c>
      <c r="F1058" t="s">
        <v>24</v>
      </c>
      <c r="G1058">
        <v>23</v>
      </c>
      <c r="H1058" s="13">
        <v>107640</v>
      </c>
      <c r="I1058" s="13">
        <v>24733</v>
      </c>
      <c r="J1058" t="s">
        <v>25</v>
      </c>
      <c r="K1058" s="13">
        <f>HR_Data[[#This Row],[Salary]]+HR_Data[[#This Row],[Bonus]]</f>
        <v>132373</v>
      </c>
    </row>
    <row r="1059" spans="1:11" x14ac:dyDescent="0.25">
      <c r="A1059">
        <v>2058</v>
      </c>
      <c r="B1059" t="s">
        <v>1099</v>
      </c>
      <c r="C1059" t="s">
        <v>12</v>
      </c>
      <c r="D1059" t="s">
        <v>14</v>
      </c>
      <c r="E1059" t="s">
        <v>16</v>
      </c>
      <c r="F1059" t="s">
        <v>22</v>
      </c>
      <c r="G1059">
        <v>52</v>
      </c>
      <c r="H1059" s="13">
        <v>76768</v>
      </c>
      <c r="I1059" s="13">
        <v>29028</v>
      </c>
      <c r="J1059" t="s">
        <v>25</v>
      </c>
      <c r="K1059" s="13">
        <f>HR_Data[[#This Row],[Salary]]+HR_Data[[#This Row],[Bonus]]</f>
        <v>105796</v>
      </c>
    </row>
    <row r="1060" spans="1:11" x14ac:dyDescent="0.25">
      <c r="A1060">
        <v>2059</v>
      </c>
      <c r="B1060" t="s">
        <v>1100</v>
      </c>
      <c r="C1060" t="s">
        <v>11</v>
      </c>
      <c r="D1060" t="s">
        <v>14</v>
      </c>
      <c r="E1060" t="s">
        <v>17</v>
      </c>
      <c r="F1060" t="s">
        <v>23</v>
      </c>
      <c r="G1060">
        <v>23</v>
      </c>
      <c r="H1060" s="13">
        <v>80184</v>
      </c>
      <c r="I1060" s="13">
        <v>11560</v>
      </c>
      <c r="J1060" t="s">
        <v>26</v>
      </c>
      <c r="K1060" s="13">
        <f>HR_Data[[#This Row],[Salary]]+HR_Data[[#This Row],[Bonus]]</f>
        <v>91744</v>
      </c>
    </row>
    <row r="1061" spans="1:11" x14ac:dyDescent="0.25">
      <c r="A1061">
        <v>2060</v>
      </c>
      <c r="B1061" t="s">
        <v>1101</v>
      </c>
      <c r="C1061" t="s">
        <v>10</v>
      </c>
      <c r="D1061" t="s">
        <v>27</v>
      </c>
      <c r="E1061" t="s">
        <v>20</v>
      </c>
      <c r="F1061" t="s">
        <v>24</v>
      </c>
      <c r="G1061">
        <v>53</v>
      </c>
      <c r="H1061" s="13">
        <v>85792</v>
      </c>
      <c r="I1061" s="13">
        <v>10247</v>
      </c>
      <c r="J1061" t="s">
        <v>25</v>
      </c>
      <c r="K1061" s="13">
        <f>HR_Data[[#This Row],[Salary]]+HR_Data[[#This Row],[Bonus]]</f>
        <v>96039</v>
      </c>
    </row>
    <row r="1062" spans="1:11" x14ac:dyDescent="0.25">
      <c r="A1062">
        <v>2061</v>
      </c>
      <c r="B1062" t="s">
        <v>1102</v>
      </c>
      <c r="C1062" t="s">
        <v>10</v>
      </c>
      <c r="D1062" t="s">
        <v>15</v>
      </c>
      <c r="E1062" t="s">
        <v>16</v>
      </c>
      <c r="F1062" t="s">
        <v>24</v>
      </c>
      <c r="G1062">
        <v>39</v>
      </c>
      <c r="H1062" s="13">
        <v>53439</v>
      </c>
      <c r="I1062" s="13">
        <v>26740</v>
      </c>
      <c r="J1062" t="s">
        <v>25</v>
      </c>
      <c r="K1062" s="13">
        <f>HR_Data[[#This Row],[Salary]]+HR_Data[[#This Row],[Bonus]]</f>
        <v>80179</v>
      </c>
    </row>
    <row r="1063" spans="1:11" x14ac:dyDescent="0.25">
      <c r="A1063">
        <v>2062</v>
      </c>
      <c r="B1063" t="s">
        <v>1103</v>
      </c>
      <c r="C1063" t="s">
        <v>2042</v>
      </c>
      <c r="D1063" t="s">
        <v>14</v>
      </c>
      <c r="E1063" t="s">
        <v>16</v>
      </c>
      <c r="F1063" t="s">
        <v>23</v>
      </c>
      <c r="G1063">
        <v>34</v>
      </c>
      <c r="H1063" s="13">
        <v>53257</v>
      </c>
      <c r="I1063" s="13">
        <v>9077</v>
      </c>
      <c r="J1063" t="s">
        <v>25</v>
      </c>
      <c r="K1063" s="13">
        <f>HR_Data[[#This Row],[Salary]]+HR_Data[[#This Row],[Bonus]]</f>
        <v>62334</v>
      </c>
    </row>
    <row r="1064" spans="1:11" x14ac:dyDescent="0.25">
      <c r="A1064">
        <v>2063</v>
      </c>
      <c r="B1064" t="s">
        <v>1104</v>
      </c>
      <c r="C1064" t="s">
        <v>10</v>
      </c>
      <c r="D1064" t="s">
        <v>14</v>
      </c>
      <c r="E1064" t="s">
        <v>19</v>
      </c>
      <c r="F1064" t="s">
        <v>23</v>
      </c>
      <c r="G1064">
        <v>26</v>
      </c>
      <c r="H1064" s="13">
        <v>64674</v>
      </c>
      <c r="I1064" s="13">
        <v>26282</v>
      </c>
      <c r="J1064" t="s">
        <v>25</v>
      </c>
      <c r="K1064" s="13">
        <f>HR_Data[[#This Row],[Salary]]+HR_Data[[#This Row],[Bonus]]</f>
        <v>90956</v>
      </c>
    </row>
    <row r="1065" spans="1:11" x14ac:dyDescent="0.25">
      <c r="A1065">
        <v>2064</v>
      </c>
      <c r="B1065" t="s">
        <v>1105</v>
      </c>
      <c r="C1065" t="s">
        <v>8</v>
      </c>
      <c r="D1065" t="s">
        <v>15</v>
      </c>
      <c r="E1065" t="s">
        <v>19</v>
      </c>
      <c r="F1065" t="s">
        <v>23</v>
      </c>
      <c r="G1065">
        <v>31</v>
      </c>
      <c r="H1065" s="13">
        <v>71248</v>
      </c>
      <c r="I1065" s="13">
        <v>15858</v>
      </c>
      <c r="J1065" t="s">
        <v>26</v>
      </c>
      <c r="K1065" s="13">
        <f>HR_Data[[#This Row],[Salary]]+HR_Data[[#This Row],[Bonus]]</f>
        <v>87106</v>
      </c>
    </row>
    <row r="1066" spans="1:11" x14ac:dyDescent="0.25">
      <c r="A1066">
        <v>2065</v>
      </c>
      <c r="B1066" t="s">
        <v>1106</v>
      </c>
      <c r="C1066" t="s">
        <v>10</v>
      </c>
      <c r="D1066" t="s">
        <v>14</v>
      </c>
      <c r="E1066" t="s">
        <v>16</v>
      </c>
      <c r="F1066" t="s">
        <v>22</v>
      </c>
      <c r="G1066">
        <v>46</v>
      </c>
      <c r="H1066" s="13">
        <v>103602</v>
      </c>
      <c r="I1066" s="13">
        <v>16391</v>
      </c>
      <c r="J1066" t="s">
        <v>25</v>
      </c>
      <c r="K1066" s="13">
        <f>HR_Data[[#This Row],[Salary]]+HR_Data[[#This Row],[Bonus]]</f>
        <v>119993</v>
      </c>
    </row>
    <row r="1067" spans="1:11" x14ac:dyDescent="0.25">
      <c r="A1067">
        <v>2066</v>
      </c>
      <c r="B1067" t="s">
        <v>1107</v>
      </c>
      <c r="C1067" t="s">
        <v>2042</v>
      </c>
      <c r="D1067" t="s">
        <v>14</v>
      </c>
      <c r="E1067" t="s">
        <v>17</v>
      </c>
      <c r="F1067" t="s">
        <v>23</v>
      </c>
      <c r="G1067">
        <v>55</v>
      </c>
      <c r="H1067" s="13">
        <v>65371</v>
      </c>
      <c r="I1067" s="13">
        <v>15946</v>
      </c>
      <c r="J1067" t="s">
        <v>25</v>
      </c>
      <c r="K1067" s="13">
        <f>HR_Data[[#This Row],[Salary]]+HR_Data[[#This Row],[Bonus]]</f>
        <v>81317</v>
      </c>
    </row>
    <row r="1068" spans="1:11" x14ac:dyDescent="0.25">
      <c r="A1068">
        <v>2067</v>
      </c>
      <c r="B1068" t="s">
        <v>1108</v>
      </c>
      <c r="C1068" t="s">
        <v>10</v>
      </c>
      <c r="D1068" t="s">
        <v>15</v>
      </c>
      <c r="E1068" t="s">
        <v>16</v>
      </c>
      <c r="F1068" t="s">
        <v>21</v>
      </c>
      <c r="G1068">
        <v>58</v>
      </c>
      <c r="H1068" s="13">
        <v>118282</v>
      </c>
      <c r="I1068" s="13">
        <v>20186</v>
      </c>
      <c r="J1068" t="s">
        <v>27</v>
      </c>
      <c r="K1068" s="13">
        <f>HR_Data[[#This Row],[Salary]]+HR_Data[[#This Row],[Bonus]]</f>
        <v>138468</v>
      </c>
    </row>
    <row r="1069" spans="1:11" x14ac:dyDescent="0.25">
      <c r="A1069">
        <v>2068</v>
      </c>
      <c r="B1069" t="s">
        <v>1109</v>
      </c>
      <c r="C1069" t="s">
        <v>8</v>
      </c>
      <c r="D1069" t="s">
        <v>14</v>
      </c>
      <c r="E1069" t="s">
        <v>18</v>
      </c>
      <c r="F1069" t="s">
        <v>24</v>
      </c>
      <c r="G1069">
        <v>51</v>
      </c>
      <c r="H1069" s="13">
        <v>87996</v>
      </c>
      <c r="I1069" s="13">
        <v>6417</v>
      </c>
      <c r="J1069" t="s">
        <v>25</v>
      </c>
      <c r="K1069" s="13">
        <f>HR_Data[[#This Row],[Salary]]+HR_Data[[#This Row],[Bonus]]</f>
        <v>94413</v>
      </c>
    </row>
    <row r="1070" spans="1:11" x14ac:dyDescent="0.25">
      <c r="A1070">
        <v>2069</v>
      </c>
      <c r="B1070" t="s">
        <v>1110</v>
      </c>
      <c r="C1070" t="s">
        <v>12</v>
      </c>
      <c r="D1070" t="s">
        <v>15</v>
      </c>
      <c r="E1070" t="s">
        <v>20</v>
      </c>
      <c r="F1070" t="s">
        <v>23</v>
      </c>
      <c r="G1070">
        <v>28</v>
      </c>
      <c r="H1070" s="13">
        <v>57297</v>
      </c>
      <c r="I1070" s="13">
        <v>21494</v>
      </c>
      <c r="J1070" t="s">
        <v>25</v>
      </c>
      <c r="K1070" s="13">
        <f>HR_Data[[#This Row],[Salary]]+HR_Data[[#This Row],[Bonus]]</f>
        <v>78791</v>
      </c>
    </row>
    <row r="1071" spans="1:11" x14ac:dyDescent="0.25">
      <c r="A1071">
        <v>2070</v>
      </c>
      <c r="B1071" t="s">
        <v>1111</v>
      </c>
      <c r="C1071" t="s">
        <v>27</v>
      </c>
      <c r="D1071" t="s">
        <v>15</v>
      </c>
      <c r="E1071" t="s">
        <v>17</v>
      </c>
      <c r="F1071" t="s">
        <v>23</v>
      </c>
      <c r="G1071">
        <v>27</v>
      </c>
      <c r="H1071" s="13">
        <v>74273</v>
      </c>
      <c r="I1071" s="13">
        <v>29665</v>
      </c>
      <c r="J1071" t="s">
        <v>25</v>
      </c>
      <c r="K1071" s="13">
        <f>HR_Data[[#This Row],[Salary]]+HR_Data[[#This Row],[Bonus]]</f>
        <v>103938</v>
      </c>
    </row>
    <row r="1072" spans="1:11" x14ac:dyDescent="0.25">
      <c r="A1072">
        <v>2071</v>
      </c>
      <c r="B1072" t="s">
        <v>1112</v>
      </c>
      <c r="C1072" t="s">
        <v>12</v>
      </c>
      <c r="D1072" t="s">
        <v>15</v>
      </c>
      <c r="E1072" t="s">
        <v>18</v>
      </c>
      <c r="F1072" t="s">
        <v>22</v>
      </c>
      <c r="G1072">
        <v>24</v>
      </c>
      <c r="H1072" s="13">
        <v>81256</v>
      </c>
      <c r="I1072" s="13">
        <v>13954</v>
      </c>
      <c r="J1072" t="s">
        <v>25</v>
      </c>
      <c r="K1072" s="13">
        <f>HR_Data[[#This Row],[Salary]]+HR_Data[[#This Row],[Bonus]]</f>
        <v>95210</v>
      </c>
    </row>
    <row r="1073" spans="1:11" x14ac:dyDescent="0.25">
      <c r="A1073">
        <v>2072</v>
      </c>
      <c r="B1073" t="s">
        <v>1113</v>
      </c>
      <c r="C1073" t="s">
        <v>12</v>
      </c>
      <c r="D1073" t="s">
        <v>15</v>
      </c>
      <c r="E1073" t="s">
        <v>17</v>
      </c>
      <c r="F1073" t="s">
        <v>22</v>
      </c>
      <c r="G1073">
        <v>34</v>
      </c>
      <c r="H1073" s="13">
        <v>54743</v>
      </c>
      <c r="I1073" s="13">
        <v>18591</v>
      </c>
      <c r="J1073" t="s">
        <v>26</v>
      </c>
      <c r="K1073" s="13">
        <f>HR_Data[[#This Row],[Salary]]+HR_Data[[#This Row],[Bonus]]</f>
        <v>73334</v>
      </c>
    </row>
    <row r="1074" spans="1:11" x14ac:dyDescent="0.25">
      <c r="A1074">
        <v>2073</v>
      </c>
      <c r="B1074" t="s">
        <v>1114</v>
      </c>
      <c r="C1074" t="s">
        <v>27</v>
      </c>
      <c r="D1074" t="s">
        <v>15</v>
      </c>
      <c r="E1074" t="s">
        <v>18</v>
      </c>
      <c r="F1074" t="s">
        <v>24</v>
      </c>
      <c r="G1074">
        <v>24</v>
      </c>
      <c r="H1074" s="13">
        <v>88752</v>
      </c>
      <c r="I1074" s="13">
        <v>12391</v>
      </c>
      <c r="J1074" t="s">
        <v>25</v>
      </c>
      <c r="K1074" s="13">
        <f>HR_Data[[#This Row],[Salary]]+HR_Data[[#This Row],[Bonus]]</f>
        <v>101143</v>
      </c>
    </row>
    <row r="1075" spans="1:11" x14ac:dyDescent="0.25">
      <c r="A1075">
        <v>2074</v>
      </c>
      <c r="B1075" t="s">
        <v>1115</v>
      </c>
      <c r="C1075" t="s">
        <v>9</v>
      </c>
      <c r="D1075" t="s">
        <v>14</v>
      </c>
      <c r="E1075" t="s">
        <v>20</v>
      </c>
      <c r="F1075" t="s">
        <v>21</v>
      </c>
      <c r="G1075">
        <v>47</v>
      </c>
      <c r="H1075" s="13">
        <v>99803</v>
      </c>
      <c r="I1075" s="13">
        <v>16364</v>
      </c>
      <c r="J1075" t="s">
        <v>25</v>
      </c>
      <c r="K1075" s="13">
        <f>HR_Data[[#This Row],[Salary]]+HR_Data[[#This Row],[Bonus]]</f>
        <v>116167</v>
      </c>
    </row>
    <row r="1076" spans="1:11" x14ac:dyDescent="0.25">
      <c r="A1076">
        <v>2075</v>
      </c>
      <c r="B1076" t="s">
        <v>1116</v>
      </c>
      <c r="C1076" t="s">
        <v>11</v>
      </c>
      <c r="D1076" t="s">
        <v>14</v>
      </c>
      <c r="E1076" t="s">
        <v>20</v>
      </c>
      <c r="F1076" t="s">
        <v>24</v>
      </c>
      <c r="G1076">
        <v>45</v>
      </c>
      <c r="H1076" s="13">
        <v>95117</v>
      </c>
      <c r="I1076" s="13">
        <v>15371</v>
      </c>
      <c r="J1076" t="s">
        <v>25</v>
      </c>
      <c r="K1076" s="13">
        <f>HR_Data[[#This Row],[Salary]]+HR_Data[[#This Row],[Bonus]]</f>
        <v>110488</v>
      </c>
    </row>
    <row r="1077" spans="1:11" x14ac:dyDescent="0.25">
      <c r="A1077">
        <v>2076</v>
      </c>
      <c r="B1077" t="s">
        <v>1117</v>
      </c>
      <c r="C1077" t="s">
        <v>9</v>
      </c>
      <c r="D1077" t="s">
        <v>15</v>
      </c>
      <c r="E1077" t="s">
        <v>19</v>
      </c>
      <c r="F1077" t="s">
        <v>23</v>
      </c>
      <c r="G1077">
        <v>27</v>
      </c>
      <c r="H1077" s="13">
        <v>90051</v>
      </c>
      <c r="I1077" s="13">
        <v>26516</v>
      </c>
      <c r="J1077" t="s">
        <v>25</v>
      </c>
      <c r="K1077" s="13">
        <f>HR_Data[[#This Row],[Salary]]+HR_Data[[#This Row],[Bonus]]</f>
        <v>116567</v>
      </c>
    </row>
    <row r="1078" spans="1:11" x14ac:dyDescent="0.25">
      <c r="A1078">
        <v>2077</v>
      </c>
      <c r="B1078" t="s">
        <v>1118</v>
      </c>
      <c r="C1078" t="s">
        <v>11</v>
      </c>
      <c r="D1078" t="s">
        <v>15</v>
      </c>
      <c r="E1078" t="s">
        <v>18</v>
      </c>
      <c r="F1078" t="s">
        <v>21</v>
      </c>
      <c r="G1078">
        <v>33</v>
      </c>
      <c r="H1078" s="13">
        <v>69554.53</v>
      </c>
      <c r="I1078" s="13">
        <v>7504</v>
      </c>
      <c r="J1078" t="s">
        <v>25</v>
      </c>
      <c r="K1078" s="13">
        <f>HR_Data[[#This Row],[Salary]]+HR_Data[[#This Row],[Bonus]]</f>
        <v>77058.53</v>
      </c>
    </row>
    <row r="1079" spans="1:11" x14ac:dyDescent="0.25">
      <c r="A1079">
        <v>2078</v>
      </c>
      <c r="B1079" t="s">
        <v>1119</v>
      </c>
      <c r="C1079" t="s">
        <v>12</v>
      </c>
      <c r="D1079" t="s">
        <v>14</v>
      </c>
      <c r="E1079" t="s">
        <v>19</v>
      </c>
      <c r="F1079" t="s">
        <v>21</v>
      </c>
      <c r="G1079">
        <v>57</v>
      </c>
      <c r="H1079" s="13">
        <v>95312</v>
      </c>
      <c r="I1079" s="13">
        <v>29673</v>
      </c>
      <c r="J1079" t="s">
        <v>25</v>
      </c>
      <c r="K1079" s="13">
        <f>HR_Data[[#This Row],[Salary]]+HR_Data[[#This Row],[Bonus]]</f>
        <v>124985</v>
      </c>
    </row>
    <row r="1080" spans="1:11" x14ac:dyDescent="0.25">
      <c r="A1080">
        <v>2079</v>
      </c>
      <c r="B1080" t="s">
        <v>1120</v>
      </c>
      <c r="C1080" t="s">
        <v>2042</v>
      </c>
      <c r="D1080" t="s">
        <v>15</v>
      </c>
      <c r="E1080" t="s">
        <v>18</v>
      </c>
      <c r="F1080" t="s">
        <v>21</v>
      </c>
      <c r="G1080">
        <v>23</v>
      </c>
      <c r="H1080" s="13">
        <v>107483</v>
      </c>
      <c r="I1080" s="13">
        <v>10239</v>
      </c>
      <c r="J1080" t="s">
        <v>25</v>
      </c>
      <c r="K1080" s="13">
        <f>HR_Data[[#This Row],[Salary]]+HR_Data[[#This Row],[Bonus]]</f>
        <v>117722</v>
      </c>
    </row>
    <row r="1081" spans="1:11" x14ac:dyDescent="0.25">
      <c r="A1081">
        <v>2080</v>
      </c>
      <c r="B1081" t="s">
        <v>1121</v>
      </c>
      <c r="C1081" t="s">
        <v>11</v>
      </c>
      <c r="D1081" t="s">
        <v>15</v>
      </c>
      <c r="E1081" t="s">
        <v>19</v>
      </c>
      <c r="F1081" t="s">
        <v>21</v>
      </c>
      <c r="G1081">
        <v>32</v>
      </c>
      <c r="H1081" s="13">
        <v>22963</v>
      </c>
      <c r="I1081" s="13">
        <v>21676</v>
      </c>
      <c r="J1081" t="s">
        <v>26</v>
      </c>
      <c r="K1081" s="13">
        <f>HR_Data[[#This Row],[Salary]]+HR_Data[[#This Row],[Bonus]]</f>
        <v>44639</v>
      </c>
    </row>
    <row r="1082" spans="1:11" x14ac:dyDescent="0.25">
      <c r="A1082">
        <v>2081</v>
      </c>
      <c r="B1082" t="s">
        <v>1122</v>
      </c>
      <c r="C1082" t="s">
        <v>8</v>
      </c>
      <c r="D1082" t="s">
        <v>15</v>
      </c>
      <c r="E1082" t="s">
        <v>20</v>
      </c>
      <c r="F1082" t="s">
        <v>24</v>
      </c>
      <c r="G1082">
        <v>55</v>
      </c>
      <c r="H1082" s="13">
        <v>92322</v>
      </c>
      <c r="I1082" s="13">
        <v>23118</v>
      </c>
      <c r="J1082" t="s">
        <v>26</v>
      </c>
      <c r="K1082" s="13">
        <f>HR_Data[[#This Row],[Salary]]+HR_Data[[#This Row],[Bonus]]</f>
        <v>115440</v>
      </c>
    </row>
    <row r="1083" spans="1:11" x14ac:dyDescent="0.25">
      <c r="A1083">
        <v>2082</v>
      </c>
      <c r="B1083" t="s">
        <v>1123</v>
      </c>
      <c r="C1083" t="s">
        <v>8</v>
      </c>
      <c r="D1083" t="s">
        <v>14</v>
      </c>
      <c r="E1083" t="s">
        <v>17</v>
      </c>
      <c r="F1083" t="s">
        <v>22</v>
      </c>
      <c r="G1083">
        <v>47</v>
      </c>
      <c r="H1083" s="13">
        <v>33866</v>
      </c>
      <c r="I1083" s="13">
        <v>10120</v>
      </c>
      <c r="J1083" t="s">
        <v>25</v>
      </c>
      <c r="K1083" s="13">
        <f>HR_Data[[#This Row],[Salary]]+HR_Data[[#This Row],[Bonus]]</f>
        <v>43986</v>
      </c>
    </row>
    <row r="1084" spans="1:11" x14ac:dyDescent="0.25">
      <c r="A1084">
        <v>2083</v>
      </c>
      <c r="B1084" t="s">
        <v>1124</v>
      </c>
      <c r="C1084" t="s">
        <v>10</v>
      </c>
      <c r="D1084" t="s">
        <v>14</v>
      </c>
      <c r="E1084" t="s">
        <v>19</v>
      </c>
      <c r="F1084" t="s">
        <v>22</v>
      </c>
      <c r="G1084">
        <v>39</v>
      </c>
      <c r="H1084" s="13">
        <v>52305</v>
      </c>
      <c r="I1084" s="13">
        <v>11393</v>
      </c>
      <c r="J1084" t="s">
        <v>25</v>
      </c>
      <c r="K1084" s="13">
        <f>HR_Data[[#This Row],[Salary]]+HR_Data[[#This Row],[Bonus]]</f>
        <v>63698</v>
      </c>
    </row>
    <row r="1085" spans="1:11" x14ac:dyDescent="0.25">
      <c r="A1085">
        <v>2084</v>
      </c>
      <c r="B1085" t="s">
        <v>1125</v>
      </c>
      <c r="C1085" t="s">
        <v>11</v>
      </c>
      <c r="D1085" t="s">
        <v>15</v>
      </c>
      <c r="E1085" t="s">
        <v>18</v>
      </c>
      <c r="F1085" t="s">
        <v>23</v>
      </c>
      <c r="G1085">
        <v>42</v>
      </c>
      <c r="H1085" s="13">
        <v>82403</v>
      </c>
      <c r="I1085" s="13">
        <v>7196</v>
      </c>
      <c r="J1085" t="s">
        <v>25</v>
      </c>
      <c r="K1085" s="13">
        <f>HR_Data[[#This Row],[Salary]]+HR_Data[[#This Row],[Bonus]]</f>
        <v>89599</v>
      </c>
    </row>
    <row r="1086" spans="1:11" x14ac:dyDescent="0.25">
      <c r="A1086">
        <v>2085</v>
      </c>
      <c r="B1086" t="s">
        <v>1126</v>
      </c>
      <c r="C1086" t="s">
        <v>2042</v>
      </c>
      <c r="D1086" t="s">
        <v>15</v>
      </c>
      <c r="E1086" t="s">
        <v>18</v>
      </c>
      <c r="F1086" t="s">
        <v>22</v>
      </c>
      <c r="G1086">
        <v>57</v>
      </c>
      <c r="H1086" s="13">
        <v>102896</v>
      </c>
      <c r="I1086" s="13">
        <v>8466</v>
      </c>
      <c r="J1086" t="s">
        <v>25</v>
      </c>
      <c r="K1086" s="13">
        <f>HR_Data[[#This Row],[Salary]]+HR_Data[[#This Row],[Bonus]]</f>
        <v>111362</v>
      </c>
    </row>
    <row r="1087" spans="1:11" x14ac:dyDescent="0.25">
      <c r="A1087">
        <v>2086</v>
      </c>
      <c r="B1087" t="s">
        <v>1127</v>
      </c>
      <c r="C1087" t="s">
        <v>9</v>
      </c>
      <c r="D1087" t="s">
        <v>14</v>
      </c>
      <c r="E1087" t="s">
        <v>20</v>
      </c>
      <c r="F1087" t="s">
        <v>22</v>
      </c>
      <c r="G1087">
        <v>43</v>
      </c>
      <c r="H1087" s="13">
        <v>52813</v>
      </c>
      <c r="I1087" s="13">
        <v>6906</v>
      </c>
      <c r="J1087" t="s">
        <v>25</v>
      </c>
      <c r="K1087" s="13">
        <f>HR_Data[[#This Row],[Salary]]+HR_Data[[#This Row],[Bonus]]</f>
        <v>59719</v>
      </c>
    </row>
    <row r="1088" spans="1:11" x14ac:dyDescent="0.25">
      <c r="A1088">
        <v>2087</v>
      </c>
      <c r="B1088" t="s">
        <v>1128</v>
      </c>
      <c r="C1088" t="s">
        <v>12</v>
      </c>
      <c r="D1088" t="s">
        <v>14</v>
      </c>
      <c r="E1088" t="s">
        <v>18</v>
      </c>
      <c r="F1088" t="s">
        <v>22</v>
      </c>
      <c r="G1088">
        <v>51</v>
      </c>
      <c r="H1088" s="13">
        <v>86729</v>
      </c>
      <c r="I1088" s="13">
        <v>23105</v>
      </c>
      <c r="J1088" t="s">
        <v>25</v>
      </c>
      <c r="K1088" s="13">
        <f>HR_Data[[#This Row],[Salary]]+HR_Data[[#This Row],[Bonus]]</f>
        <v>109834</v>
      </c>
    </row>
    <row r="1089" spans="1:11" x14ac:dyDescent="0.25">
      <c r="A1089">
        <v>2088</v>
      </c>
      <c r="B1089" t="s">
        <v>1129</v>
      </c>
      <c r="C1089" t="s">
        <v>10</v>
      </c>
      <c r="D1089" t="s">
        <v>15</v>
      </c>
      <c r="E1089" t="s">
        <v>16</v>
      </c>
      <c r="F1089" t="s">
        <v>22</v>
      </c>
      <c r="G1089">
        <v>51</v>
      </c>
      <c r="H1089" s="13">
        <v>80686</v>
      </c>
      <c r="I1089" s="13">
        <v>16883</v>
      </c>
      <c r="J1089" t="s">
        <v>25</v>
      </c>
      <c r="K1089" s="13">
        <f>HR_Data[[#This Row],[Salary]]+HR_Data[[#This Row],[Bonus]]</f>
        <v>97569</v>
      </c>
    </row>
    <row r="1090" spans="1:11" x14ac:dyDescent="0.25">
      <c r="A1090">
        <v>2089</v>
      </c>
      <c r="B1090" t="s">
        <v>1130</v>
      </c>
      <c r="C1090" t="s">
        <v>8</v>
      </c>
      <c r="D1090" t="s">
        <v>15</v>
      </c>
      <c r="E1090" t="s">
        <v>17</v>
      </c>
      <c r="F1090" t="s">
        <v>23</v>
      </c>
      <c r="G1090">
        <v>29</v>
      </c>
      <c r="H1090" s="13">
        <v>24512</v>
      </c>
      <c r="I1090" s="13">
        <v>20437</v>
      </c>
      <c r="J1090" t="s">
        <v>25</v>
      </c>
      <c r="K1090" s="13">
        <f>HR_Data[[#This Row],[Salary]]+HR_Data[[#This Row],[Bonus]]</f>
        <v>44949</v>
      </c>
    </row>
    <row r="1091" spans="1:11" x14ac:dyDescent="0.25">
      <c r="A1091">
        <v>2090</v>
      </c>
      <c r="B1091" t="s">
        <v>1131</v>
      </c>
      <c r="C1091" t="s">
        <v>9</v>
      </c>
      <c r="D1091" t="s">
        <v>14</v>
      </c>
      <c r="E1091" t="s">
        <v>19</v>
      </c>
      <c r="F1091" t="s">
        <v>24</v>
      </c>
      <c r="G1091">
        <v>55</v>
      </c>
      <c r="H1091" s="13">
        <v>42666</v>
      </c>
      <c r="I1091" s="13">
        <v>19497</v>
      </c>
      <c r="J1091" t="s">
        <v>25</v>
      </c>
      <c r="K1091" s="13">
        <f>HR_Data[[#This Row],[Salary]]+HR_Data[[#This Row],[Bonus]]</f>
        <v>62163</v>
      </c>
    </row>
    <row r="1092" spans="1:11" x14ac:dyDescent="0.25">
      <c r="A1092">
        <v>2091</v>
      </c>
      <c r="B1092" t="s">
        <v>1132</v>
      </c>
      <c r="C1092" t="s">
        <v>9</v>
      </c>
      <c r="D1092" t="s">
        <v>14</v>
      </c>
      <c r="E1092" t="s">
        <v>17</v>
      </c>
      <c r="F1092" t="s">
        <v>21</v>
      </c>
      <c r="G1092">
        <v>30</v>
      </c>
      <c r="H1092" s="13">
        <v>36630</v>
      </c>
      <c r="I1092" s="13">
        <v>6816</v>
      </c>
      <c r="J1092" t="s">
        <v>25</v>
      </c>
      <c r="K1092" s="13">
        <f>HR_Data[[#This Row],[Salary]]+HR_Data[[#This Row],[Bonus]]</f>
        <v>43446</v>
      </c>
    </row>
    <row r="1093" spans="1:11" x14ac:dyDescent="0.25">
      <c r="A1093">
        <v>2092</v>
      </c>
      <c r="B1093" t="s">
        <v>1133</v>
      </c>
      <c r="C1093" t="s">
        <v>12</v>
      </c>
      <c r="D1093" t="s">
        <v>14</v>
      </c>
      <c r="E1093" t="s">
        <v>20</v>
      </c>
      <c r="F1093" t="s">
        <v>22</v>
      </c>
      <c r="G1093">
        <v>41</v>
      </c>
      <c r="H1093" s="13">
        <v>94519</v>
      </c>
      <c r="I1093" s="13">
        <v>29828</v>
      </c>
      <c r="J1093" t="s">
        <v>25</v>
      </c>
      <c r="K1093" s="13">
        <f>HR_Data[[#This Row],[Salary]]+HR_Data[[#This Row],[Bonus]]</f>
        <v>124347</v>
      </c>
    </row>
    <row r="1094" spans="1:11" x14ac:dyDescent="0.25">
      <c r="A1094">
        <v>2093</v>
      </c>
      <c r="B1094" t="s">
        <v>1134</v>
      </c>
      <c r="C1094" t="s">
        <v>11</v>
      </c>
      <c r="D1094" t="s">
        <v>15</v>
      </c>
      <c r="E1094" t="s">
        <v>19</v>
      </c>
      <c r="F1094" t="s">
        <v>24</v>
      </c>
      <c r="G1094">
        <v>46</v>
      </c>
      <c r="H1094" s="13">
        <v>20636</v>
      </c>
      <c r="I1094" s="13">
        <v>25611</v>
      </c>
      <c r="J1094" t="s">
        <v>25</v>
      </c>
      <c r="K1094" s="13">
        <f>HR_Data[[#This Row],[Salary]]+HR_Data[[#This Row],[Bonus]]</f>
        <v>46247</v>
      </c>
    </row>
    <row r="1095" spans="1:11" x14ac:dyDescent="0.25">
      <c r="A1095">
        <v>2094</v>
      </c>
      <c r="B1095" t="s">
        <v>1135</v>
      </c>
      <c r="C1095" t="s">
        <v>8</v>
      </c>
      <c r="D1095" t="s">
        <v>14</v>
      </c>
      <c r="E1095" t="s">
        <v>19</v>
      </c>
      <c r="F1095" t="s">
        <v>22</v>
      </c>
      <c r="G1095">
        <v>40</v>
      </c>
      <c r="H1095" s="13">
        <v>23775</v>
      </c>
      <c r="I1095" s="13">
        <v>15713</v>
      </c>
      <c r="J1095" t="s">
        <v>26</v>
      </c>
      <c r="K1095" s="13">
        <f>HR_Data[[#This Row],[Salary]]+HR_Data[[#This Row],[Bonus]]</f>
        <v>39488</v>
      </c>
    </row>
    <row r="1096" spans="1:11" x14ac:dyDescent="0.25">
      <c r="A1096">
        <v>2095</v>
      </c>
      <c r="B1096" t="s">
        <v>1136</v>
      </c>
      <c r="C1096" t="s">
        <v>2042</v>
      </c>
      <c r="D1096" t="s">
        <v>15</v>
      </c>
      <c r="E1096" t="s">
        <v>16</v>
      </c>
      <c r="F1096" t="s">
        <v>22</v>
      </c>
      <c r="G1096">
        <v>26</v>
      </c>
      <c r="H1096" s="13">
        <v>87957</v>
      </c>
      <c r="I1096" s="13">
        <v>27159</v>
      </c>
      <c r="J1096" t="s">
        <v>25</v>
      </c>
      <c r="K1096" s="13">
        <f>HR_Data[[#This Row],[Salary]]+HR_Data[[#This Row],[Bonus]]</f>
        <v>115116</v>
      </c>
    </row>
    <row r="1097" spans="1:11" x14ac:dyDescent="0.25">
      <c r="A1097">
        <v>2096</v>
      </c>
      <c r="B1097" t="s">
        <v>1137</v>
      </c>
      <c r="C1097" t="s">
        <v>9</v>
      </c>
      <c r="D1097" t="s">
        <v>14</v>
      </c>
      <c r="E1097" t="s">
        <v>20</v>
      </c>
      <c r="F1097" t="s">
        <v>21</v>
      </c>
      <c r="G1097">
        <v>32</v>
      </c>
      <c r="H1097" s="13">
        <v>84591</v>
      </c>
      <c r="I1097" s="13">
        <v>8849</v>
      </c>
      <c r="J1097" t="s">
        <v>27</v>
      </c>
      <c r="K1097" s="13">
        <f>HR_Data[[#This Row],[Salary]]+HR_Data[[#This Row],[Bonus]]</f>
        <v>93440</v>
      </c>
    </row>
    <row r="1098" spans="1:11" x14ac:dyDescent="0.25">
      <c r="A1098">
        <v>2097</v>
      </c>
      <c r="B1098" t="s">
        <v>1138</v>
      </c>
      <c r="C1098" t="s">
        <v>12</v>
      </c>
      <c r="D1098" t="s">
        <v>14</v>
      </c>
      <c r="E1098" t="s">
        <v>18</v>
      </c>
      <c r="F1098" t="s">
        <v>21</v>
      </c>
      <c r="G1098">
        <v>36</v>
      </c>
      <c r="H1098" s="13">
        <v>98561</v>
      </c>
      <c r="I1098" s="13">
        <v>26612</v>
      </c>
      <c r="J1098" t="s">
        <v>25</v>
      </c>
      <c r="K1098" s="13">
        <f>HR_Data[[#This Row],[Salary]]+HR_Data[[#This Row],[Bonus]]</f>
        <v>125173</v>
      </c>
    </row>
    <row r="1099" spans="1:11" x14ac:dyDescent="0.25">
      <c r="A1099">
        <v>2098</v>
      </c>
      <c r="B1099" t="s">
        <v>1139</v>
      </c>
      <c r="C1099" t="s">
        <v>2042</v>
      </c>
      <c r="D1099" t="s">
        <v>14</v>
      </c>
      <c r="E1099" t="s">
        <v>16</v>
      </c>
      <c r="F1099" t="s">
        <v>21</v>
      </c>
      <c r="G1099">
        <v>29</v>
      </c>
      <c r="H1099" s="13">
        <v>94816</v>
      </c>
      <c r="I1099" s="13">
        <v>11849</v>
      </c>
      <c r="J1099" t="s">
        <v>25</v>
      </c>
      <c r="K1099" s="13">
        <f>HR_Data[[#This Row],[Salary]]+HR_Data[[#This Row],[Bonus]]</f>
        <v>106665</v>
      </c>
    </row>
    <row r="1100" spans="1:11" x14ac:dyDescent="0.25">
      <c r="A1100">
        <v>2099</v>
      </c>
      <c r="B1100" t="s">
        <v>1140</v>
      </c>
      <c r="C1100" t="s">
        <v>11</v>
      </c>
      <c r="D1100" t="s">
        <v>14</v>
      </c>
      <c r="E1100" t="s">
        <v>16</v>
      </c>
      <c r="F1100" t="s">
        <v>22</v>
      </c>
      <c r="G1100">
        <v>40</v>
      </c>
      <c r="H1100" s="13">
        <v>31351</v>
      </c>
      <c r="I1100" s="13">
        <v>6058</v>
      </c>
      <c r="J1100" t="s">
        <v>25</v>
      </c>
      <c r="K1100" s="13">
        <f>HR_Data[[#This Row],[Salary]]+HR_Data[[#This Row],[Bonus]]</f>
        <v>37409</v>
      </c>
    </row>
    <row r="1101" spans="1:11" x14ac:dyDescent="0.25">
      <c r="A1101">
        <v>2100</v>
      </c>
      <c r="B1101" t="s">
        <v>1141</v>
      </c>
      <c r="C1101" t="s">
        <v>8</v>
      </c>
      <c r="D1101" t="s">
        <v>15</v>
      </c>
      <c r="E1101" t="s">
        <v>17</v>
      </c>
      <c r="F1101" t="s">
        <v>22</v>
      </c>
      <c r="G1101">
        <v>44</v>
      </c>
      <c r="H1101" s="13">
        <v>75184</v>
      </c>
      <c r="I1101" s="13">
        <v>16730</v>
      </c>
      <c r="J1101" t="s">
        <v>25</v>
      </c>
      <c r="K1101" s="13">
        <f>HR_Data[[#This Row],[Salary]]+HR_Data[[#This Row],[Bonus]]</f>
        <v>91914</v>
      </c>
    </row>
    <row r="1102" spans="1:11" x14ac:dyDescent="0.25">
      <c r="A1102">
        <v>2101</v>
      </c>
      <c r="B1102" t="s">
        <v>1142</v>
      </c>
      <c r="C1102" t="s">
        <v>11</v>
      </c>
      <c r="D1102" t="s">
        <v>15</v>
      </c>
      <c r="E1102" t="s">
        <v>17</v>
      </c>
      <c r="F1102" t="s">
        <v>22</v>
      </c>
      <c r="G1102">
        <v>48</v>
      </c>
      <c r="H1102" s="13">
        <v>115707</v>
      </c>
      <c r="I1102" s="13">
        <v>23706</v>
      </c>
      <c r="J1102" t="s">
        <v>25</v>
      </c>
      <c r="K1102" s="13">
        <f>HR_Data[[#This Row],[Salary]]+HR_Data[[#This Row],[Bonus]]</f>
        <v>139413</v>
      </c>
    </row>
    <row r="1103" spans="1:11" x14ac:dyDescent="0.25">
      <c r="A1103">
        <v>2102</v>
      </c>
      <c r="B1103" t="s">
        <v>1143</v>
      </c>
      <c r="C1103" t="s">
        <v>9</v>
      </c>
      <c r="D1103" t="s">
        <v>14</v>
      </c>
      <c r="E1103" t="s">
        <v>17</v>
      </c>
      <c r="F1103" t="s">
        <v>21</v>
      </c>
      <c r="G1103">
        <v>53</v>
      </c>
      <c r="H1103" s="13">
        <v>89180</v>
      </c>
      <c r="I1103" s="13">
        <v>29762</v>
      </c>
      <c r="J1103" t="s">
        <v>25</v>
      </c>
      <c r="K1103" s="13">
        <f>HR_Data[[#This Row],[Salary]]+HR_Data[[#This Row],[Bonus]]</f>
        <v>118942</v>
      </c>
    </row>
    <row r="1104" spans="1:11" x14ac:dyDescent="0.25">
      <c r="A1104">
        <v>2103</v>
      </c>
      <c r="B1104" t="s">
        <v>1144</v>
      </c>
      <c r="C1104" t="s">
        <v>2042</v>
      </c>
      <c r="D1104" t="s">
        <v>15</v>
      </c>
      <c r="E1104" t="s">
        <v>16</v>
      </c>
      <c r="F1104" t="s">
        <v>23</v>
      </c>
      <c r="G1104">
        <v>47</v>
      </c>
      <c r="H1104" s="13">
        <v>101678</v>
      </c>
      <c r="I1104" s="13">
        <v>22332</v>
      </c>
      <c r="J1104" t="s">
        <v>25</v>
      </c>
      <c r="K1104" s="13">
        <f>HR_Data[[#This Row],[Salary]]+HR_Data[[#This Row],[Bonus]]</f>
        <v>124010</v>
      </c>
    </row>
    <row r="1105" spans="1:11" x14ac:dyDescent="0.25">
      <c r="A1105">
        <v>2104</v>
      </c>
      <c r="B1105" t="s">
        <v>1145</v>
      </c>
      <c r="C1105" t="s">
        <v>2042</v>
      </c>
      <c r="D1105" t="s">
        <v>14</v>
      </c>
      <c r="E1105" t="s">
        <v>18</v>
      </c>
      <c r="F1105" t="s">
        <v>24</v>
      </c>
      <c r="G1105">
        <v>48</v>
      </c>
      <c r="H1105" s="13">
        <v>93309</v>
      </c>
      <c r="I1105" s="13">
        <v>29563</v>
      </c>
      <c r="J1105" t="s">
        <v>25</v>
      </c>
      <c r="K1105" s="13">
        <f>HR_Data[[#This Row],[Salary]]+HR_Data[[#This Row],[Bonus]]</f>
        <v>122872</v>
      </c>
    </row>
    <row r="1106" spans="1:11" x14ac:dyDescent="0.25">
      <c r="A1106">
        <v>2105</v>
      </c>
      <c r="B1106" t="s">
        <v>1146</v>
      </c>
      <c r="C1106" t="s">
        <v>2042</v>
      </c>
      <c r="D1106" t="s">
        <v>14</v>
      </c>
      <c r="E1106" t="s">
        <v>19</v>
      </c>
      <c r="F1106" t="s">
        <v>23</v>
      </c>
      <c r="G1106">
        <v>40</v>
      </c>
      <c r="H1106" s="13">
        <v>114002</v>
      </c>
      <c r="I1106" s="13">
        <v>9359</v>
      </c>
      <c r="J1106" t="s">
        <v>26</v>
      </c>
      <c r="K1106" s="13">
        <f>HR_Data[[#This Row],[Salary]]+HR_Data[[#This Row],[Bonus]]</f>
        <v>123361</v>
      </c>
    </row>
    <row r="1107" spans="1:11" x14ac:dyDescent="0.25">
      <c r="A1107">
        <v>2106</v>
      </c>
      <c r="B1107" t="s">
        <v>1147</v>
      </c>
      <c r="C1107" t="s">
        <v>9</v>
      </c>
      <c r="D1107" t="s">
        <v>14</v>
      </c>
      <c r="E1107" t="s">
        <v>17</v>
      </c>
      <c r="F1107" t="s">
        <v>22</v>
      </c>
      <c r="G1107">
        <v>50</v>
      </c>
      <c r="H1107" s="13">
        <v>30778</v>
      </c>
      <c r="I1107" s="13">
        <v>17809</v>
      </c>
      <c r="J1107" t="s">
        <v>25</v>
      </c>
      <c r="K1107" s="13">
        <f>HR_Data[[#This Row],[Salary]]+HR_Data[[#This Row],[Bonus]]</f>
        <v>48587</v>
      </c>
    </row>
    <row r="1108" spans="1:11" x14ac:dyDescent="0.25">
      <c r="A1108">
        <v>2107</v>
      </c>
      <c r="B1108" t="s">
        <v>1148</v>
      </c>
      <c r="C1108" t="s">
        <v>9</v>
      </c>
      <c r="D1108" t="s">
        <v>14</v>
      </c>
      <c r="E1108" t="s">
        <v>18</v>
      </c>
      <c r="F1108" t="s">
        <v>22</v>
      </c>
      <c r="G1108">
        <v>54</v>
      </c>
      <c r="H1108" s="13">
        <v>32501</v>
      </c>
      <c r="I1108" s="13">
        <v>10660</v>
      </c>
      <c r="J1108" t="s">
        <v>25</v>
      </c>
      <c r="K1108" s="13">
        <f>HR_Data[[#This Row],[Salary]]+HR_Data[[#This Row],[Bonus]]</f>
        <v>43161</v>
      </c>
    </row>
    <row r="1109" spans="1:11" x14ac:dyDescent="0.25">
      <c r="A1109">
        <v>2108</v>
      </c>
      <c r="B1109" t="s">
        <v>1149</v>
      </c>
      <c r="C1109" t="s">
        <v>11</v>
      </c>
      <c r="D1109" t="s">
        <v>15</v>
      </c>
      <c r="E1109" t="s">
        <v>20</v>
      </c>
      <c r="F1109" t="s">
        <v>23</v>
      </c>
      <c r="G1109">
        <v>40</v>
      </c>
      <c r="H1109" s="13">
        <v>22108</v>
      </c>
      <c r="I1109" s="13">
        <v>12254</v>
      </c>
      <c r="J1109" t="s">
        <v>26</v>
      </c>
      <c r="K1109" s="13">
        <f>HR_Data[[#This Row],[Salary]]+HR_Data[[#This Row],[Bonus]]</f>
        <v>34362</v>
      </c>
    </row>
    <row r="1110" spans="1:11" x14ac:dyDescent="0.25">
      <c r="A1110">
        <v>2109</v>
      </c>
      <c r="B1110" t="s">
        <v>1150</v>
      </c>
      <c r="C1110" t="s">
        <v>10</v>
      </c>
      <c r="D1110" t="s">
        <v>14</v>
      </c>
      <c r="E1110" t="s">
        <v>17</v>
      </c>
      <c r="F1110" t="s">
        <v>22</v>
      </c>
      <c r="G1110">
        <v>58</v>
      </c>
      <c r="H1110" s="13">
        <v>114905</v>
      </c>
      <c r="I1110" s="13">
        <v>17822</v>
      </c>
      <c r="J1110" t="s">
        <v>25</v>
      </c>
      <c r="K1110" s="13">
        <f>HR_Data[[#This Row],[Salary]]+HR_Data[[#This Row],[Bonus]]</f>
        <v>132727</v>
      </c>
    </row>
    <row r="1111" spans="1:11" x14ac:dyDescent="0.25">
      <c r="A1111">
        <v>2110</v>
      </c>
      <c r="B1111" t="s">
        <v>1151</v>
      </c>
      <c r="C1111" t="s">
        <v>11</v>
      </c>
      <c r="D1111" t="s">
        <v>14</v>
      </c>
      <c r="E1111" t="s">
        <v>19</v>
      </c>
      <c r="F1111" t="s">
        <v>24</v>
      </c>
      <c r="G1111">
        <v>40</v>
      </c>
      <c r="H1111" s="13">
        <v>56382</v>
      </c>
      <c r="I1111" s="13">
        <v>29785</v>
      </c>
      <c r="J1111" t="s">
        <v>25</v>
      </c>
      <c r="K1111" s="13">
        <f>HR_Data[[#This Row],[Salary]]+HR_Data[[#This Row],[Bonus]]</f>
        <v>86167</v>
      </c>
    </row>
    <row r="1112" spans="1:11" x14ac:dyDescent="0.25">
      <c r="A1112">
        <v>2111</v>
      </c>
      <c r="B1112" t="s">
        <v>1152</v>
      </c>
      <c r="C1112" t="s">
        <v>8</v>
      </c>
      <c r="D1112" t="s">
        <v>15</v>
      </c>
      <c r="E1112" t="s">
        <v>20</v>
      </c>
      <c r="F1112" t="s">
        <v>22</v>
      </c>
      <c r="G1112">
        <v>54</v>
      </c>
      <c r="H1112" s="13">
        <v>111354</v>
      </c>
      <c r="I1112" s="13">
        <v>7093</v>
      </c>
      <c r="J1112" t="s">
        <v>25</v>
      </c>
      <c r="K1112" s="13">
        <f>HR_Data[[#This Row],[Salary]]+HR_Data[[#This Row],[Bonus]]</f>
        <v>118447</v>
      </c>
    </row>
    <row r="1113" spans="1:11" x14ac:dyDescent="0.25">
      <c r="A1113">
        <v>2112</v>
      </c>
      <c r="B1113" t="s">
        <v>1153</v>
      </c>
      <c r="C1113" t="s">
        <v>12</v>
      </c>
      <c r="D1113" t="s">
        <v>14</v>
      </c>
      <c r="E1113" t="s">
        <v>20</v>
      </c>
      <c r="F1113" t="s">
        <v>24</v>
      </c>
      <c r="G1113">
        <v>37</v>
      </c>
      <c r="H1113" s="13">
        <v>95787</v>
      </c>
      <c r="I1113" s="13">
        <v>16730</v>
      </c>
      <c r="J1113" t="s">
        <v>25</v>
      </c>
      <c r="K1113" s="13">
        <f>HR_Data[[#This Row],[Salary]]+HR_Data[[#This Row],[Bonus]]</f>
        <v>112517</v>
      </c>
    </row>
    <row r="1114" spans="1:11" x14ac:dyDescent="0.25">
      <c r="A1114">
        <v>2113</v>
      </c>
      <c r="B1114" t="s">
        <v>1154</v>
      </c>
      <c r="C1114" t="s">
        <v>2042</v>
      </c>
      <c r="D1114" t="s">
        <v>14</v>
      </c>
      <c r="E1114" t="s">
        <v>19</v>
      </c>
      <c r="F1114" t="s">
        <v>23</v>
      </c>
      <c r="G1114">
        <v>44</v>
      </c>
      <c r="H1114" s="13">
        <v>43341</v>
      </c>
      <c r="I1114" s="13">
        <v>22947</v>
      </c>
      <c r="J1114" t="s">
        <v>25</v>
      </c>
      <c r="K1114" s="13">
        <f>HR_Data[[#This Row],[Salary]]+HR_Data[[#This Row],[Bonus]]</f>
        <v>66288</v>
      </c>
    </row>
    <row r="1115" spans="1:11" x14ac:dyDescent="0.25">
      <c r="A1115">
        <v>2114</v>
      </c>
      <c r="B1115" t="s">
        <v>1155</v>
      </c>
      <c r="C1115" t="s">
        <v>10</v>
      </c>
      <c r="D1115" t="s">
        <v>14</v>
      </c>
      <c r="E1115" t="s">
        <v>17</v>
      </c>
      <c r="F1115" t="s">
        <v>23</v>
      </c>
      <c r="G1115">
        <v>28</v>
      </c>
      <c r="H1115" s="13">
        <v>97214</v>
      </c>
      <c r="I1115" s="13">
        <v>13217</v>
      </c>
      <c r="J1115" t="s">
        <v>25</v>
      </c>
      <c r="K1115" s="13">
        <f>HR_Data[[#This Row],[Salary]]+HR_Data[[#This Row],[Bonus]]</f>
        <v>110431</v>
      </c>
    </row>
    <row r="1116" spans="1:11" x14ac:dyDescent="0.25">
      <c r="A1116">
        <v>2115</v>
      </c>
      <c r="B1116" t="s">
        <v>1156</v>
      </c>
      <c r="C1116" t="s">
        <v>12</v>
      </c>
      <c r="D1116" t="s">
        <v>15</v>
      </c>
      <c r="E1116" t="s">
        <v>16</v>
      </c>
      <c r="F1116" t="s">
        <v>22</v>
      </c>
      <c r="G1116">
        <v>47</v>
      </c>
      <c r="H1116" s="13">
        <v>34367</v>
      </c>
      <c r="I1116" s="13">
        <v>21558</v>
      </c>
      <c r="J1116" t="s">
        <v>25</v>
      </c>
      <c r="K1116" s="13">
        <f>HR_Data[[#This Row],[Salary]]+HR_Data[[#This Row],[Bonus]]</f>
        <v>55925</v>
      </c>
    </row>
    <row r="1117" spans="1:11" x14ac:dyDescent="0.25">
      <c r="A1117">
        <v>2116</v>
      </c>
      <c r="B1117" t="s">
        <v>1157</v>
      </c>
      <c r="C1117" t="s">
        <v>10</v>
      </c>
      <c r="D1117" t="s">
        <v>14</v>
      </c>
      <c r="E1117" t="s">
        <v>19</v>
      </c>
      <c r="F1117" t="s">
        <v>24</v>
      </c>
      <c r="G1117">
        <v>53</v>
      </c>
      <c r="H1117" s="13">
        <v>115208</v>
      </c>
      <c r="I1117" s="13">
        <v>22718</v>
      </c>
      <c r="J1117" t="s">
        <v>26</v>
      </c>
      <c r="K1117" s="13">
        <f>HR_Data[[#This Row],[Salary]]+HR_Data[[#This Row],[Bonus]]</f>
        <v>137926</v>
      </c>
    </row>
    <row r="1118" spans="1:11" x14ac:dyDescent="0.25">
      <c r="A1118">
        <v>2117</v>
      </c>
      <c r="B1118" t="s">
        <v>1158</v>
      </c>
      <c r="C1118" t="s">
        <v>11</v>
      </c>
      <c r="D1118" t="s">
        <v>15</v>
      </c>
      <c r="E1118" t="s">
        <v>19</v>
      </c>
      <c r="F1118" t="s">
        <v>22</v>
      </c>
      <c r="G1118">
        <v>33</v>
      </c>
      <c r="H1118" s="13">
        <v>89868</v>
      </c>
      <c r="I1118" s="13">
        <v>21705</v>
      </c>
      <c r="J1118" t="s">
        <v>25</v>
      </c>
      <c r="K1118" s="13">
        <f>HR_Data[[#This Row],[Salary]]+HR_Data[[#This Row],[Bonus]]</f>
        <v>111573</v>
      </c>
    </row>
    <row r="1119" spans="1:11" x14ac:dyDescent="0.25">
      <c r="A1119">
        <v>2118</v>
      </c>
      <c r="B1119" t="s">
        <v>1159</v>
      </c>
      <c r="C1119" t="s">
        <v>9</v>
      </c>
      <c r="D1119" t="s">
        <v>14</v>
      </c>
      <c r="E1119" t="s">
        <v>19</v>
      </c>
      <c r="F1119" t="s">
        <v>21</v>
      </c>
      <c r="G1119">
        <v>29</v>
      </c>
      <c r="H1119" s="13">
        <v>32002</v>
      </c>
      <c r="I1119" s="13">
        <v>27082</v>
      </c>
      <c r="J1119" t="s">
        <v>25</v>
      </c>
      <c r="K1119" s="13">
        <f>HR_Data[[#This Row],[Salary]]+HR_Data[[#This Row],[Bonus]]</f>
        <v>59084</v>
      </c>
    </row>
    <row r="1120" spans="1:11" x14ac:dyDescent="0.25">
      <c r="A1120">
        <v>2119</v>
      </c>
      <c r="B1120" t="s">
        <v>1160</v>
      </c>
      <c r="C1120" t="s">
        <v>2042</v>
      </c>
      <c r="D1120" t="s">
        <v>14</v>
      </c>
      <c r="E1120" t="s">
        <v>20</v>
      </c>
      <c r="F1120" t="s">
        <v>21</v>
      </c>
      <c r="G1120">
        <v>26</v>
      </c>
      <c r="H1120" s="13">
        <v>105820</v>
      </c>
      <c r="I1120" s="13">
        <v>17342</v>
      </c>
      <c r="J1120" t="s">
        <v>26</v>
      </c>
      <c r="K1120" s="13">
        <f>HR_Data[[#This Row],[Salary]]+HR_Data[[#This Row],[Bonus]]</f>
        <v>123162</v>
      </c>
    </row>
    <row r="1121" spans="1:11" x14ac:dyDescent="0.25">
      <c r="A1121">
        <v>2120</v>
      </c>
      <c r="B1121" t="s">
        <v>1161</v>
      </c>
      <c r="C1121" t="s">
        <v>11</v>
      </c>
      <c r="D1121" t="s">
        <v>15</v>
      </c>
      <c r="E1121" t="s">
        <v>18</v>
      </c>
      <c r="F1121" t="s">
        <v>21</v>
      </c>
      <c r="G1121">
        <v>49</v>
      </c>
      <c r="H1121" s="13">
        <v>79949</v>
      </c>
      <c r="I1121" s="13">
        <v>17239</v>
      </c>
      <c r="J1121" t="s">
        <v>26</v>
      </c>
      <c r="K1121" s="13">
        <f>HR_Data[[#This Row],[Salary]]+HR_Data[[#This Row],[Bonus]]</f>
        <v>97188</v>
      </c>
    </row>
    <row r="1122" spans="1:11" x14ac:dyDescent="0.25">
      <c r="A1122">
        <v>2121</v>
      </c>
      <c r="B1122" t="s">
        <v>1162</v>
      </c>
      <c r="C1122" t="s">
        <v>12</v>
      </c>
      <c r="D1122" t="s">
        <v>14</v>
      </c>
      <c r="E1122" t="s">
        <v>16</v>
      </c>
      <c r="F1122" t="s">
        <v>21</v>
      </c>
      <c r="G1122">
        <v>26</v>
      </c>
      <c r="H1122" s="13">
        <v>35700</v>
      </c>
      <c r="I1122" s="13">
        <v>18854</v>
      </c>
      <c r="J1122" t="s">
        <v>25</v>
      </c>
      <c r="K1122" s="13">
        <f>HR_Data[[#This Row],[Salary]]+HR_Data[[#This Row],[Bonus]]</f>
        <v>54554</v>
      </c>
    </row>
    <row r="1123" spans="1:11" x14ac:dyDescent="0.25">
      <c r="A1123">
        <v>2122</v>
      </c>
      <c r="B1123" t="s">
        <v>1163</v>
      </c>
      <c r="C1123" t="s">
        <v>12</v>
      </c>
      <c r="D1123" t="s">
        <v>14</v>
      </c>
      <c r="E1123" t="s">
        <v>17</v>
      </c>
      <c r="F1123" t="s">
        <v>22</v>
      </c>
      <c r="G1123">
        <v>47</v>
      </c>
      <c r="H1123" s="13">
        <v>99305</v>
      </c>
      <c r="I1123" s="13">
        <v>18897</v>
      </c>
      <c r="J1123" t="s">
        <v>25</v>
      </c>
      <c r="K1123" s="13">
        <f>HR_Data[[#This Row],[Salary]]+HR_Data[[#This Row],[Bonus]]</f>
        <v>118202</v>
      </c>
    </row>
    <row r="1124" spans="1:11" x14ac:dyDescent="0.25">
      <c r="A1124">
        <v>2123</v>
      </c>
      <c r="B1124" t="s">
        <v>1164</v>
      </c>
      <c r="C1124" t="s">
        <v>12</v>
      </c>
      <c r="D1124" t="s">
        <v>15</v>
      </c>
      <c r="E1124" t="s">
        <v>17</v>
      </c>
      <c r="F1124" t="s">
        <v>21</v>
      </c>
      <c r="G1124">
        <v>26</v>
      </c>
      <c r="H1124" s="13">
        <v>82543</v>
      </c>
      <c r="I1124" s="13">
        <v>16419</v>
      </c>
      <c r="J1124" t="s">
        <v>26</v>
      </c>
      <c r="K1124" s="13">
        <f>HR_Data[[#This Row],[Salary]]+HR_Data[[#This Row],[Bonus]]</f>
        <v>98962</v>
      </c>
    </row>
    <row r="1125" spans="1:11" x14ac:dyDescent="0.25">
      <c r="A1125">
        <v>2124</v>
      </c>
      <c r="B1125" t="s">
        <v>1165</v>
      </c>
      <c r="C1125" t="s">
        <v>12</v>
      </c>
      <c r="D1125" t="s">
        <v>15</v>
      </c>
      <c r="E1125" t="s">
        <v>18</v>
      </c>
      <c r="F1125" t="s">
        <v>24</v>
      </c>
      <c r="G1125">
        <v>43</v>
      </c>
      <c r="H1125" s="13">
        <v>49318</v>
      </c>
      <c r="I1125" s="13">
        <v>15064</v>
      </c>
      <c r="J1125" t="s">
        <v>25</v>
      </c>
      <c r="K1125" s="13">
        <f>HR_Data[[#This Row],[Salary]]+HR_Data[[#This Row],[Bonus]]</f>
        <v>64382</v>
      </c>
    </row>
    <row r="1126" spans="1:11" x14ac:dyDescent="0.25">
      <c r="A1126">
        <v>2125</v>
      </c>
      <c r="B1126" t="s">
        <v>1166</v>
      </c>
      <c r="C1126" t="s">
        <v>27</v>
      </c>
      <c r="D1126" t="s">
        <v>15</v>
      </c>
      <c r="E1126" t="s">
        <v>19</v>
      </c>
      <c r="F1126" t="s">
        <v>23</v>
      </c>
      <c r="G1126">
        <v>36</v>
      </c>
      <c r="H1126" s="13">
        <v>109859</v>
      </c>
      <c r="I1126" s="13">
        <v>20003</v>
      </c>
      <c r="J1126" t="s">
        <v>25</v>
      </c>
      <c r="K1126" s="13">
        <f>HR_Data[[#This Row],[Salary]]+HR_Data[[#This Row],[Bonus]]</f>
        <v>129862</v>
      </c>
    </row>
    <row r="1127" spans="1:11" x14ac:dyDescent="0.25">
      <c r="A1127">
        <v>2126</v>
      </c>
      <c r="B1127" t="s">
        <v>1167</v>
      </c>
      <c r="C1127" t="s">
        <v>10</v>
      </c>
      <c r="D1127" t="s">
        <v>15</v>
      </c>
      <c r="E1127" t="s">
        <v>16</v>
      </c>
      <c r="F1127" t="s">
        <v>23</v>
      </c>
      <c r="G1127">
        <v>34</v>
      </c>
      <c r="H1127" s="13">
        <v>47610</v>
      </c>
      <c r="I1127" s="13">
        <v>26988</v>
      </c>
      <c r="J1127" t="s">
        <v>26</v>
      </c>
      <c r="K1127" s="13">
        <f>HR_Data[[#This Row],[Salary]]+HR_Data[[#This Row],[Bonus]]</f>
        <v>74598</v>
      </c>
    </row>
    <row r="1128" spans="1:11" x14ac:dyDescent="0.25">
      <c r="A1128">
        <v>2127</v>
      </c>
      <c r="B1128" t="s">
        <v>1168</v>
      </c>
      <c r="C1128" t="s">
        <v>11</v>
      </c>
      <c r="D1128" t="s">
        <v>15</v>
      </c>
      <c r="E1128" t="s">
        <v>17</v>
      </c>
      <c r="F1128" t="s">
        <v>21</v>
      </c>
      <c r="G1128">
        <v>49</v>
      </c>
      <c r="H1128" s="13">
        <v>92499</v>
      </c>
      <c r="I1128" s="13">
        <v>28126</v>
      </c>
      <c r="J1128" t="s">
        <v>25</v>
      </c>
      <c r="K1128" s="13">
        <f>HR_Data[[#This Row],[Salary]]+HR_Data[[#This Row],[Bonus]]</f>
        <v>120625</v>
      </c>
    </row>
    <row r="1129" spans="1:11" x14ac:dyDescent="0.25">
      <c r="A1129">
        <v>2128</v>
      </c>
      <c r="B1129" t="s">
        <v>1169</v>
      </c>
      <c r="C1129" t="s">
        <v>2042</v>
      </c>
      <c r="D1129" t="s">
        <v>14</v>
      </c>
      <c r="E1129" t="s">
        <v>17</v>
      </c>
      <c r="F1129" t="s">
        <v>21</v>
      </c>
      <c r="G1129">
        <v>54</v>
      </c>
      <c r="H1129" s="13">
        <v>93374</v>
      </c>
      <c r="I1129" s="13">
        <v>15259</v>
      </c>
      <c r="J1129" t="s">
        <v>25</v>
      </c>
      <c r="K1129" s="13">
        <f>HR_Data[[#This Row],[Salary]]+HR_Data[[#This Row],[Bonus]]</f>
        <v>108633</v>
      </c>
    </row>
    <row r="1130" spans="1:11" x14ac:dyDescent="0.25">
      <c r="A1130">
        <v>2129</v>
      </c>
      <c r="B1130" t="s">
        <v>1170</v>
      </c>
      <c r="C1130" t="s">
        <v>9</v>
      </c>
      <c r="D1130" t="s">
        <v>15</v>
      </c>
      <c r="E1130" t="s">
        <v>19</v>
      </c>
      <c r="F1130" t="s">
        <v>21</v>
      </c>
      <c r="G1130">
        <v>44</v>
      </c>
      <c r="H1130" s="13">
        <v>85226</v>
      </c>
      <c r="I1130" s="13">
        <v>28820</v>
      </c>
      <c r="J1130" t="s">
        <v>25</v>
      </c>
      <c r="K1130" s="13">
        <f>HR_Data[[#This Row],[Salary]]+HR_Data[[#This Row],[Bonus]]</f>
        <v>114046</v>
      </c>
    </row>
    <row r="1131" spans="1:11" x14ac:dyDescent="0.25">
      <c r="A1131">
        <v>2130</v>
      </c>
      <c r="B1131" t="s">
        <v>1171</v>
      </c>
      <c r="C1131" t="s">
        <v>9</v>
      </c>
      <c r="D1131" t="s">
        <v>14</v>
      </c>
      <c r="E1131" t="s">
        <v>18</v>
      </c>
      <c r="F1131" t="s">
        <v>22</v>
      </c>
      <c r="G1131">
        <v>54</v>
      </c>
      <c r="H1131" s="13">
        <v>65167</v>
      </c>
      <c r="I1131" s="13">
        <v>29908</v>
      </c>
      <c r="J1131" t="s">
        <v>25</v>
      </c>
      <c r="K1131" s="13">
        <f>HR_Data[[#This Row],[Salary]]+HR_Data[[#This Row],[Bonus]]</f>
        <v>95075</v>
      </c>
    </row>
    <row r="1132" spans="1:11" x14ac:dyDescent="0.25">
      <c r="A1132">
        <v>2131</v>
      </c>
      <c r="B1132" t="s">
        <v>1172</v>
      </c>
      <c r="C1132" t="s">
        <v>11</v>
      </c>
      <c r="D1132" t="s">
        <v>14</v>
      </c>
      <c r="E1132" t="s">
        <v>16</v>
      </c>
      <c r="F1132" t="s">
        <v>23</v>
      </c>
      <c r="G1132">
        <v>39</v>
      </c>
      <c r="H1132" s="13">
        <v>97779</v>
      </c>
      <c r="I1132" s="13">
        <v>10674</v>
      </c>
      <c r="J1132" t="s">
        <v>26</v>
      </c>
      <c r="K1132" s="13">
        <f>HR_Data[[#This Row],[Salary]]+HR_Data[[#This Row],[Bonus]]</f>
        <v>108453</v>
      </c>
    </row>
    <row r="1133" spans="1:11" x14ac:dyDescent="0.25">
      <c r="A1133">
        <v>2132</v>
      </c>
      <c r="B1133" t="s">
        <v>1173</v>
      </c>
      <c r="C1133" t="s">
        <v>11</v>
      </c>
      <c r="D1133" t="s">
        <v>14</v>
      </c>
      <c r="E1133" t="s">
        <v>18</v>
      </c>
      <c r="F1133" t="s">
        <v>21</v>
      </c>
      <c r="G1133">
        <v>51</v>
      </c>
      <c r="H1133" s="13">
        <v>47939</v>
      </c>
      <c r="I1133" s="13">
        <v>10002</v>
      </c>
      <c r="J1133" t="s">
        <v>25</v>
      </c>
      <c r="K1133" s="13">
        <f>HR_Data[[#This Row],[Salary]]+HR_Data[[#This Row],[Bonus]]</f>
        <v>57941</v>
      </c>
    </row>
    <row r="1134" spans="1:11" x14ac:dyDescent="0.25">
      <c r="A1134">
        <v>2133</v>
      </c>
      <c r="B1134" t="s">
        <v>1174</v>
      </c>
      <c r="C1134" t="s">
        <v>9</v>
      </c>
      <c r="D1134" t="s">
        <v>15</v>
      </c>
      <c r="E1134" t="s">
        <v>18</v>
      </c>
      <c r="F1134" t="s">
        <v>24</v>
      </c>
      <c r="G1134">
        <v>47</v>
      </c>
      <c r="H1134" s="13">
        <v>81365</v>
      </c>
      <c r="I1134" s="13">
        <v>5910</v>
      </c>
      <c r="J1134" t="s">
        <v>26</v>
      </c>
      <c r="K1134" s="13">
        <f>HR_Data[[#This Row],[Salary]]+HR_Data[[#This Row],[Bonus]]</f>
        <v>87275</v>
      </c>
    </row>
    <row r="1135" spans="1:11" x14ac:dyDescent="0.25">
      <c r="A1135">
        <v>2134</v>
      </c>
      <c r="B1135" t="s">
        <v>1175</v>
      </c>
      <c r="C1135" t="s">
        <v>9</v>
      </c>
      <c r="D1135" t="s">
        <v>15</v>
      </c>
      <c r="E1135" t="s">
        <v>16</v>
      </c>
      <c r="F1135" t="s">
        <v>21</v>
      </c>
      <c r="G1135">
        <v>37</v>
      </c>
      <c r="H1135" s="13">
        <v>87381</v>
      </c>
      <c r="I1135" s="13">
        <v>5949</v>
      </c>
      <c r="J1135" t="s">
        <v>25</v>
      </c>
      <c r="K1135" s="13">
        <f>HR_Data[[#This Row],[Salary]]+HR_Data[[#This Row],[Bonus]]</f>
        <v>93330</v>
      </c>
    </row>
    <row r="1136" spans="1:11" x14ac:dyDescent="0.25">
      <c r="A1136">
        <v>2135</v>
      </c>
      <c r="B1136" t="s">
        <v>1176</v>
      </c>
      <c r="C1136" t="s">
        <v>10</v>
      </c>
      <c r="D1136" t="s">
        <v>14</v>
      </c>
      <c r="E1136" t="s">
        <v>16</v>
      </c>
      <c r="F1136" t="s">
        <v>23</v>
      </c>
      <c r="G1136">
        <v>34</v>
      </c>
      <c r="H1136" s="13">
        <v>66710</v>
      </c>
      <c r="I1136" s="13">
        <v>26809</v>
      </c>
      <c r="J1136" t="s">
        <v>25</v>
      </c>
      <c r="K1136" s="13">
        <f>HR_Data[[#This Row],[Salary]]+HR_Data[[#This Row],[Bonus]]</f>
        <v>93519</v>
      </c>
    </row>
    <row r="1137" spans="1:11" x14ac:dyDescent="0.25">
      <c r="A1137">
        <v>2136</v>
      </c>
      <c r="B1137" t="s">
        <v>1177</v>
      </c>
      <c r="C1137" t="s">
        <v>8</v>
      </c>
      <c r="D1137" t="s">
        <v>15</v>
      </c>
      <c r="E1137" t="s">
        <v>17</v>
      </c>
      <c r="F1137" t="s">
        <v>21</v>
      </c>
      <c r="G1137">
        <v>54</v>
      </c>
      <c r="H1137" s="13">
        <v>36766</v>
      </c>
      <c r="I1137" s="13">
        <v>23898</v>
      </c>
      <c r="J1137" t="s">
        <v>25</v>
      </c>
      <c r="K1137" s="13">
        <f>HR_Data[[#This Row],[Salary]]+HR_Data[[#This Row],[Bonus]]</f>
        <v>60664</v>
      </c>
    </row>
    <row r="1138" spans="1:11" x14ac:dyDescent="0.25">
      <c r="A1138">
        <v>2137</v>
      </c>
      <c r="B1138" t="s">
        <v>1178</v>
      </c>
      <c r="C1138" t="s">
        <v>2042</v>
      </c>
      <c r="D1138" t="s">
        <v>15</v>
      </c>
      <c r="E1138" t="s">
        <v>17</v>
      </c>
      <c r="F1138" t="s">
        <v>23</v>
      </c>
      <c r="G1138">
        <v>47</v>
      </c>
      <c r="H1138" s="13">
        <v>32780</v>
      </c>
      <c r="I1138" s="13">
        <v>16523</v>
      </c>
      <c r="J1138" t="s">
        <v>25</v>
      </c>
      <c r="K1138" s="13">
        <f>HR_Data[[#This Row],[Salary]]+HR_Data[[#This Row],[Bonus]]</f>
        <v>49303</v>
      </c>
    </row>
    <row r="1139" spans="1:11" x14ac:dyDescent="0.25">
      <c r="A1139">
        <v>2138</v>
      </c>
      <c r="B1139" t="s">
        <v>1179</v>
      </c>
      <c r="C1139" t="s">
        <v>12</v>
      </c>
      <c r="D1139" t="s">
        <v>15</v>
      </c>
      <c r="E1139" t="s">
        <v>16</v>
      </c>
      <c r="F1139" t="s">
        <v>21</v>
      </c>
      <c r="G1139">
        <v>22</v>
      </c>
      <c r="H1139" s="13">
        <v>68458</v>
      </c>
      <c r="I1139" s="13">
        <v>29085</v>
      </c>
      <c r="J1139" t="s">
        <v>25</v>
      </c>
      <c r="K1139" s="13">
        <f>HR_Data[[#This Row],[Salary]]+HR_Data[[#This Row],[Bonus]]</f>
        <v>97543</v>
      </c>
    </row>
    <row r="1140" spans="1:11" x14ac:dyDescent="0.25">
      <c r="A1140">
        <v>2139</v>
      </c>
      <c r="B1140" t="s">
        <v>1180</v>
      </c>
      <c r="C1140" t="s">
        <v>8</v>
      </c>
      <c r="D1140" t="s">
        <v>15</v>
      </c>
      <c r="E1140" t="s">
        <v>20</v>
      </c>
      <c r="F1140" t="s">
        <v>24</v>
      </c>
      <c r="G1140">
        <v>59</v>
      </c>
      <c r="H1140" s="13">
        <v>76221</v>
      </c>
      <c r="I1140" s="13">
        <v>16221</v>
      </c>
      <c r="J1140" t="s">
        <v>25</v>
      </c>
      <c r="K1140" s="13">
        <f>HR_Data[[#This Row],[Salary]]+HR_Data[[#This Row],[Bonus]]</f>
        <v>92442</v>
      </c>
    </row>
    <row r="1141" spans="1:11" x14ac:dyDescent="0.25">
      <c r="A1141">
        <v>2140</v>
      </c>
      <c r="B1141" t="s">
        <v>1181</v>
      </c>
      <c r="C1141" t="s">
        <v>11</v>
      </c>
      <c r="D1141" t="s">
        <v>14</v>
      </c>
      <c r="E1141" t="s">
        <v>17</v>
      </c>
      <c r="F1141" t="s">
        <v>21</v>
      </c>
      <c r="G1141">
        <v>23</v>
      </c>
      <c r="H1141" s="13">
        <v>21509</v>
      </c>
      <c r="I1141" s="13">
        <v>21484</v>
      </c>
      <c r="J1141" t="s">
        <v>25</v>
      </c>
      <c r="K1141" s="13">
        <f>HR_Data[[#This Row],[Salary]]+HR_Data[[#This Row],[Bonus]]</f>
        <v>42993</v>
      </c>
    </row>
    <row r="1142" spans="1:11" x14ac:dyDescent="0.25">
      <c r="A1142">
        <v>2141</v>
      </c>
      <c r="B1142" t="s">
        <v>1182</v>
      </c>
      <c r="C1142" t="s">
        <v>9</v>
      </c>
      <c r="D1142" t="s">
        <v>14</v>
      </c>
      <c r="E1142" t="s">
        <v>20</v>
      </c>
      <c r="F1142" t="s">
        <v>24</v>
      </c>
      <c r="G1142">
        <v>27</v>
      </c>
      <c r="H1142" s="13">
        <v>109493</v>
      </c>
      <c r="I1142" s="13">
        <v>9646</v>
      </c>
      <c r="J1142" t="s">
        <v>25</v>
      </c>
      <c r="K1142" s="13">
        <f>HR_Data[[#This Row],[Salary]]+HR_Data[[#This Row],[Bonus]]</f>
        <v>119139</v>
      </c>
    </row>
    <row r="1143" spans="1:11" x14ac:dyDescent="0.25">
      <c r="A1143">
        <v>2142</v>
      </c>
      <c r="B1143" t="s">
        <v>1183</v>
      </c>
      <c r="C1143" t="s">
        <v>8</v>
      </c>
      <c r="D1143" t="s">
        <v>15</v>
      </c>
      <c r="E1143" t="s">
        <v>16</v>
      </c>
      <c r="F1143" t="s">
        <v>24</v>
      </c>
      <c r="G1143">
        <v>59</v>
      </c>
      <c r="H1143" s="13">
        <v>54346</v>
      </c>
      <c r="I1143" s="13">
        <v>11945</v>
      </c>
      <c r="J1143" t="s">
        <v>25</v>
      </c>
      <c r="K1143" s="13">
        <f>HR_Data[[#This Row],[Salary]]+HR_Data[[#This Row],[Bonus]]</f>
        <v>66291</v>
      </c>
    </row>
    <row r="1144" spans="1:11" x14ac:dyDescent="0.25">
      <c r="A1144">
        <v>2143</v>
      </c>
      <c r="B1144" t="s">
        <v>1184</v>
      </c>
      <c r="C1144" t="s">
        <v>2042</v>
      </c>
      <c r="D1144" t="s">
        <v>14</v>
      </c>
      <c r="E1144" t="s">
        <v>17</v>
      </c>
      <c r="F1144" t="s">
        <v>21</v>
      </c>
      <c r="G1144">
        <v>45</v>
      </c>
      <c r="H1144" s="13">
        <v>102799</v>
      </c>
      <c r="I1144" s="13">
        <v>7400</v>
      </c>
      <c r="J1144" t="s">
        <v>25</v>
      </c>
      <c r="K1144" s="13">
        <f>HR_Data[[#This Row],[Salary]]+HR_Data[[#This Row],[Bonus]]</f>
        <v>110199</v>
      </c>
    </row>
    <row r="1145" spans="1:11" x14ac:dyDescent="0.25">
      <c r="A1145">
        <v>2144</v>
      </c>
      <c r="B1145" t="s">
        <v>1185</v>
      </c>
      <c r="C1145" t="s">
        <v>11</v>
      </c>
      <c r="D1145" t="s">
        <v>15</v>
      </c>
      <c r="E1145" t="s">
        <v>18</v>
      </c>
      <c r="F1145" t="s">
        <v>24</v>
      </c>
      <c r="G1145">
        <v>39</v>
      </c>
      <c r="H1145" s="13">
        <v>66874</v>
      </c>
      <c r="I1145" s="13">
        <v>16563</v>
      </c>
      <c r="J1145" t="s">
        <v>25</v>
      </c>
      <c r="K1145" s="13">
        <f>HR_Data[[#This Row],[Salary]]+HR_Data[[#This Row],[Bonus]]</f>
        <v>83437</v>
      </c>
    </row>
    <row r="1146" spans="1:11" x14ac:dyDescent="0.25">
      <c r="A1146">
        <v>2145</v>
      </c>
      <c r="B1146" t="s">
        <v>1186</v>
      </c>
      <c r="C1146" t="s">
        <v>12</v>
      </c>
      <c r="D1146" t="s">
        <v>15</v>
      </c>
      <c r="E1146" t="s">
        <v>16</v>
      </c>
      <c r="F1146" t="s">
        <v>22</v>
      </c>
      <c r="G1146">
        <v>48</v>
      </c>
      <c r="H1146" s="13">
        <v>46148</v>
      </c>
      <c r="I1146" s="13">
        <v>27185</v>
      </c>
      <c r="J1146" t="s">
        <v>25</v>
      </c>
      <c r="K1146" s="13">
        <f>HR_Data[[#This Row],[Salary]]+HR_Data[[#This Row],[Bonus]]</f>
        <v>73333</v>
      </c>
    </row>
    <row r="1147" spans="1:11" x14ac:dyDescent="0.25">
      <c r="A1147">
        <v>2146</v>
      </c>
      <c r="B1147" t="s">
        <v>1187</v>
      </c>
      <c r="C1147" t="s">
        <v>27</v>
      </c>
      <c r="D1147" t="s">
        <v>14</v>
      </c>
      <c r="E1147" t="s">
        <v>19</v>
      </c>
      <c r="F1147" t="s">
        <v>21</v>
      </c>
      <c r="G1147">
        <v>29</v>
      </c>
      <c r="H1147" s="13">
        <v>51533</v>
      </c>
      <c r="I1147" s="13">
        <v>23727</v>
      </c>
      <c r="J1147" t="s">
        <v>27</v>
      </c>
      <c r="K1147" s="13">
        <f>HR_Data[[#This Row],[Salary]]+HR_Data[[#This Row],[Bonus]]</f>
        <v>75260</v>
      </c>
    </row>
    <row r="1148" spans="1:11" x14ac:dyDescent="0.25">
      <c r="A1148">
        <v>2147</v>
      </c>
      <c r="B1148" t="s">
        <v>1188</v>
      </c>
      <c r="C1148" t="s">
        <v>2042</v>
      </c>
      <c r="D1148" t="s">
        <v>14</v>
      </c>
      <c r="E1148" t="s">
        <v>20</v>
      </c>
      <c r="F1148" t="s">
        <v>21</v>
      </c>
      <c r="G1148">
        <v>49</v>
      </c>
      <c r="H1148" s="13">
        <v>98467</v>
      </c>
      <c r="I1148" s="13">
        <v>5352</v>
      </c>
      <c r="J1148" t="s">
        <v>25</v>
      </c>
      <c r="K1148" s="13">
        <f>HR_Data[[#This Row],[Salary]]+HR_Data[[#This Row],[Bonus]]</f>
        <v>103819</v>
      </c>
    </row>
    <row r="1149" spans="1:11" x14ac:dyDescent="0.25">
      <c r="A1149">
        <v>2148</v>
      </c>
      <c r="B1149" t="s">
        <v>1189</v>
      </c>
      <c r="C1149" t="s">
        <v>2042</v>
      </c>
      <c r="D1149" t="s">
        <v>14</v>
      </c>
      <c r="E1149" t="s">
        <v>16</v>
      </c>
      <c r="F1149" t="s">
        <v>24</v>
      </c>
      <c r="G1149">
        <v>31</v>
      </c>
      <c r="H1149" s="13">
        <v>21359</v>
      </c>
      <c r="I1149" s="13">
        <v>24339</v>
      </c>
      <c r="J1149" t="s">
        <v>25</v>
      </c>
      <c r="K1149" s="13">
        <f>HR_Data[[#This Row],[Salary]]+HR_Data[[#This Row],[Bonus]]</f>
        <v>45698</v>
      </c>
    </row>
    <row r="1150" spans="1:11" x14ac:dyDescent="0.25">
      <c r="A1150">
        <v>2149</v>
      </c>
      <c r="B1150" t="s">
        <v>1190</v>
      </c>
      <c r="C1150" t="s">
        <v>9</v>
      </c>
      <c r="D1150" t="s">
        <v>15</v>
      </c>
      <c r="E1150" t="s">
        <v>16</v>
      </c>
      <c r="F1150" t="s">
        <v>24</v>
      </c>
      <c r="G1150">
        <v>38</v>
      </c>
      <c r="H1150" s="13">
        <v>110068</v>
      </c>
      <c r="I1150" s="13">
        <v>20489</v>
      </c>
      <c r="J1150" t="s">
        <v>25</v>
      </c>
      <c r="K1150" s="13">
        <f>HR_Data[[#This Row],[Salary]]+HR_Data[[#This Row],[Bonus]]</f>
        <v>130557</v>
      </c>
    </row>
    <row r="1151" spans="1:11" x14ac:dyDescent="0.25">
      <c r="A1151">
        <v>2150</v>
      </c>
      <c r="B1151" t="s">
        <v>1191</v>
      </c>
      <c r="C1151" t="s">
        <v>12</v>
      </c>
      <c r="D1151" t="s">
        <v>14</v>
      </c>
      <c r="E1151" t="s">
        <v>17</v>
      </c>
      <c r="F1151" t="s">
        <v>21</v>
      </c>
      <c r="G1151">
        <v>50</v>
      </c>
      <c r="H1151" s="13">
        <v>80313</v>
      </c>
      <c r="I1151" s="13">
        <v>6018</v>
      </c>
      <c r="J1151" t="s">
        <v>25</v>
      </c>
      <c r="K1151" s="13">
        <f>HR_Data[[#This Row],[Salary]]+HR_Data[[#This Row],[Bonus]]</f>
        <v>86331</v>
      </c>
    </row>
    <row r="1152" spans="1:11" x14ac:dyDescent="0.25">
      <c r="A1152">
        <v>2151</v>
      </c>
      <c r="B1152" t="s">
        <v>1192</v>
      </c>
      <c r="C1152" t="s">
        <v>11</v>
      </c>
      <c r="D1152" t="s">
        <v>15</v>
      </c>
      <c r="E1152" t="s">
        <v>17</v>
      </c>
      <c r="F1152" t="s">
        <v>22</v>
      </c>
      <c r="G1152">
        <v>27</v>
      </c>
      <c r="H1152" s="13">
        <v>40344</v>
      </c>
      <c r="I1152" s="13">
        <v>22563</v>
      </c>
      <c r="J1152" t="s">
        <v>25</v>
      </c>
      <c r="K1152" s="13">
        <f>HR_Data[[#This Row],[Salary]]+HR_Data[[#This Row],[Bonus]]</f>
        <v>62907</v>
      </c>
    </row>
    <row r="1153" spans="1:11" x14ac:dyDescent="0.25">
      <c r="A1153">
        <v>2152</v>
      </c>
      <c r="B1153" t="s">
        <v>1193</v>
      </c>
      <c r="C1153" t="s">
        <v>8</v>
      </c>
      <c r="D1153" t="s">
        <v>14</v>
      </c>
      <c r="E1153" t="s">
        <v>17</v>
      </c>
      <c r="F1153" t="s">
        <v>24</v>
      </c>
      <c r="G1153">
        <v>35</v>
      </c>
      <c r="H1153" s="13">
        <v>89778</v>
      </c>
      <c r="I1153" s="13">
        <v>10193</v>
      </c>
      <c r="J1153" t="s">
        <v>25</v>
      </c>
      <c r="K1153" s="13">
        <f>HR_Data[[#This Row],[Salary]]+HR_Data[[#This Row],[Bonus]]</f>
        <v>99971</v>
      </c>
    </row>
    <row r="1154" spans="1:11" x14ac:dyDescent="0.25">
      <c r="A1154">
        <v>2153</v>
      </c>
      <c r="B1154" t="s">
        <v>1194</v>
      </c>
      <c r="C1154" t="s">
        <v>27</v>
      </c>
      <c r="D1154" t="s">
        <v>14</v>
      </c>
      <c r="E1154" t="s">
        <v>19</v>
      </c>
      <c r="F1154" t="s">
        <v>24</v>
      </c>
      <c r="G1154">
        <v>43</v>
      </c>
      <c r="H1154" s="13">
        <v>40601</v>
      </c>
      <c r="I1154" s="13">
        <v>20701</v>
      </c>
      <c r="J1154" t="s">
        <v>25</v>
      </c>
      <c r="K1154" s="13">
        <f>HR_Data[[#This Row],[Salary]]+HR_Data[[#This Row],[Bonus]]</f>
        <v>61302</v>
      </c>
    </row>
    <row r="1155" spans="1:11" x14ac:dyDescent="0.25">
      <c r="A1155">
        <v>2154</v>
      </c>
      <c r="B1155" t="s">
        <v>1195</v>
      </c>
      <c r="C1155" t="s">
        <v>10</v>
      </c>
      <c r="D1155" t="s">
        <v>15</v>
      </c>
      <c r="E1155" t="s">
        <v>17</v>
      </c>
      <c r="F1155" t="s">
        <v>23</v>
      </c>
      <c r="G1155">
        <v>27</v>
      </c>
      <c r="H1155" s="13">
        <v>39116</v>
      </c>
      <c r="I1155" s="13">
        <v>8536</v>
      </c>
      <c r="J1155" t="s">
        <v>26</v>
      </c>
      <c r="K1155" s="13">
        <f>HR_Data[[#This Row],[Salary]]+HR_Data[[#This Row],[Bonus]]</f>
        <v>47652</v>
      </c>
    </row>
    <row r="1156" spans="1:11" x14ac:dyDescent="0.25">
      <c r="A1156">
        <v>2155</v>
      </c>
      <c r="B1156" t="s">
        <v>1196</v>
      </c>
      <c r="C1156" t="s">
        <v>10</v>
      </c>
      <c r="D1156" t="s">
        <v>15</v>
      </c>
      <c r="E1156" t="s">
        <v>16</v>
      </c>
      <c r="F1156" t="s">
        <v>22</v>
      </c>
      <c r="G1156">
        <v>47</v>
      </c>
      <c r="H1156" s="13">
        <v>76985</v>
      </c>
      <c r="I1156" s="13">
        <v>20449</v>
      </c>
      <c r="J1156" t="s">
        <v>26</v>
      </c>
      <c r="K1156" s="13">
        <f>HR_Data[[#This Row],[Salary]]+HR_Data[[#This Row],[Bonus]]</f>
        <v>97434</v>
      </c>
    </row>
    <row r="1157" spans="1:11" x14ac:dyDescent="0.25">
      <c r="A1157">
        <v>2156</v>
      </c>
      <c r="B1157" t="s">
        <v>1197</v>
      </c>
      <c r="C1157" t="s">
        <v>2042</v>
      </c>
      <c r="D1157" t="s">
        <v>15</v>
      </c>
      <c r="E1157" t="s">
        <v>17</v>
      </c>
      <c r="F1157" t="s">
        <v>22</v>
      </c>
      <c r="G1157">
        <v>33</v>
      </c>
      <c r="H1157" s="13">
        <v>50782</v>
      </c>
      <c r="I1157" s="13">
        <v>16842</v>
      </c>
      <c r="J1157" t="s">
        <v>25</v>
      </c>
      <c r="K1157" s="13">
        <f>HR_Data[[#This Row],[Salary]]+HR_Data[[#This Row],[Bonus]]</f>
        <v>67624</v>
      </c>
    </row>
    <row r="1158" spans="1:11" x14ac:dyDescent="0.25">
      <c r="A1158">
        <v>2157</v>
      </c>
      <c r="B1158" t="s">
        <v>1198</v>
      </c>
      <c r="C1158" t="s">
        <v>9</v>
      </c>
      <c r="D1158" t="s">
        <v>15</v>
      </c>
      <c r="E1158" t="s">
        <v>18</v>
      </c>
      <c r="F1158" t="s">
        <v>21</v>
      </c>
      <c r="G1158">
        <v>56</v>
      </c>
      <c r="H1158" s="13">
        <v>69819</v>
      </c>
      <c r="I1158" s="13">
        <v>23886</v>
      </c>
      <c r="J1158" t="s">
        <v>25</v>
      </c>
      <c r="K1158" s="13">
        <f>HR_Data[[#This Row],[Salary]]+HR_Data[[#This Row],[Bonus]]</f>
        <v>93705</v>
      </c>
    </row>
    <row r="1159" spans="1:11" x14ac:dyDescent="0.25">
      <c r="A1159">
        <v>2158</v>
      </c>
      <c r="B1159" t="s">
        <v>1199</v>
      </c>
      <c r="C1159" t="s">
        <v>10</v>
      </c>
      <c r="D1159" t="s">
        <v>15</v>
      </c>
      <c r="E1159" t="s">
        <v>17</v>
      </c>
      <c r="F1159" t="s">
        <v>22</v>
      </c>
      <c r="G1159">
        <v>35</v>
      </c>
      <c r="H1159" s="13">
        <v>104416</v>
      </c>
      <c r="I1159" s="13">
        <v>8819</v>
      </c>
      <c r="J1159" t="s">
        <v>25</v>
      </c>
      <c r="K1159" s="13">
        <f>HR_Data[[#This Row],[Salary]]+HR_Data[[#This Row],[Bonus]]</f>
        <v>113235</v>
      </c>
    </row>
    <row r="1160" spans="1:11" x14ac:dyDescent="0.25">
      <c r="A1160">
        <v>2159</v>
      </c>
      <c r="B1160" t="s">
        <v>1200</v>
      </c>
      <c r="C1160" t="s">
        <v>12</v>
      </c>
      <c r="D1160" t="s">
        <v>15</v>
      </c>
      <c r="E1160" t="s">
        <v>19</v>
      </c>
      <c r="F1160" t="s">
        <v>21</v>
      </c>
      <c r="G1160">
        <v>43</v>
      </c>
      <c r="H1160" s="13">
        <v>89035</v>
      </c>
      <c r="I1160" s="13">
        <v>28239</v>
      </c>
      <c r="J1160" t="s">
        <v>26</v>
      </c>
      <c r="K1160" s="13">
        <f>HR_Data[[#This Row],[Salary]]+HR_Data[[#This Row],[Bonus]]</f>
        <v>117274</v>
      </c>
    </row>
    <row r="1161" spans="1:11" x14ac:dyDescent="0.25">
      <c r="A1161">
        <v>2160</v>
      </c>
      <c r="B1161" t="s">
        <v>1201</v>
      </c>
      <c r="C1161" t="s">
        <v>27</v>
      </c>
      <c r="D1161" t="s">
        <v>15</v>
      </c>
      <c r="E1161" t="s">
        <v>18</v>
      </c>
      <c r="F1161" t="s">
        <v>23</v>
      </c>
      <c r="G1161">
        <v>44</v>
      </c>
      <c r="H1161" s="13">
        <v>117123</v>
      </c>
      <c r="I1161" s="13">
        <v>22363</v>
      </c>
      <c r="J1161" t="s">
        <v>25</v>
      </c>
      <c r="K1161" s="13">
        <f>HR_Data[[#This Row],[Salary]]+HR_Data[[#This Row],[Bonus]]</f>
        <v>139486</v>
      </c>
    </row>
    <row r="1162" spans="1:11" x14ac:dyDescent="0.25">
      <c r="A1162">
        <v>2161</v>
      </c>
      <c r="B1162" t="s">
        <v>1202</v>
      </c>
      <c r="C1162" t="s">
        <v>11</v>
      </c>
      <c r="D1162" t="s">
        <v>15</v>
      </c>
      <c r="E1162" t="s">
        <v>16</v>
      </c>
      <c r="F1162" t="s">
        <v>22</v>
      </c>
      <c r="G1162">
        <v>28</v>
      </c>
      <c r="H1162" s="13">
        <v>64458</v>
      </c>
      <c r="I1162" s="13">
        <v>5976</v>
      </c>
      <c r="J1162" t="s">
        <v>26</v>
      </c>
      <c r="K1162" s="13">
        <f>HR_Data[[#This Row],[Salary]]+HR_Data[[#This Row],[Bonus]]</f>
        <v>70434</v>
      </c>
    </row>
    <row r="1163" spans="1:11" x14ac:dyDescent="0.25">
      <c r="A1163">
        <v>2162</v>
      </c>
      <c r="B1163" t="s">
        <v>1203</v>
      </c>
      <c r="C1163" t="s">
        <v>2042</v>
      </c>
      <c r="D1163" t="s">
        <v>14</v>
      </c>
      <c r="E1163" t="s">
        <v>16</v>
      </c>
      <c r="F1163" t="s">
        <v>24</v>
      </c>
      <c r="G1163">
        <v>46</v>
      </c>
      <c r="H1163" s="13">
        <v>111556</v>
      </c>
      <c r="I1163" s="13">
        <v>23664</v>
      </c>
      <c r="J1163" t="s">
        <v>25</v>
      </c>
      <c r="K1163" s="13">
        <f>HR_Data[[#This Row],[Salary]]+HR_Data[[#This Row],[Bonus]]</f>
        <v>135220</v>
      </c>
    </row>
    <row r="1164" spans="1:11" x14ac:dyDescent="0.25">
      <c r="A1164">
        <v>2163</v>
      </c>
      <c r="B1164" t="s">
        <v>1204</v>
      </c>
      <c r="C1164" t="s">
        <v>8</v>
      </c>
      <c r="D1164" t="s">
        <v>15</v>
      </c>
      <c r="E1164" t="s">
        <v>20</v>
      </c>
      <c r="F1164" t="s">
        <v>23</v>
      </c>
      <c r="G1164">
        <v>34</v>
      </c>
      <c r="H1164" s="13">
        <v>28080</v>
      </c>
      <c r="I1164" s="13">
        <v>10897</v>
      </c>
      <c r="J1164" t="s">
        <v>25</v>
      </c>
      <c r="K1164" s="13">
        <f>HR_Data[[#This Row],[Salary]]+HR_Data[[#This Row],[Bonus]]</f>
        <v>38977</v>
      </c>
    </row>
    <row r="1165" spans="1:11" x14ac:dyDescent="0.25">
      <c r="A1165">
        <v>2164</v>
      </c>
      <c r="B1165" t="s">
        <v>1205</v>
      </c>
      <c r="C1165" t="s">
        <v>2042</v>
      </c>
      <c r="D1165" t="s">
        <v>15</v>
      </c>
      <c r="E1165" t="s">
        <v>18</v>
      </c>
      <c r="F1165" t="s">
        <v>21</v>
      </c>
      <c r="G1165">
        <v>42</v>
      </c>
      <c r="H1165" s="13">
        <v>108743</v>
      </c>
      <c r="I1165" s="13">
        <v>20957</v>
      </c>
      <c r="J1165" t="s">
        <v>26</v>
      </c>
      <c r="K1165" s="13">
        <f>HR_Data[[#This Row],[Salary]]+HR_Data[[#This Row],[Bonus]]</f>
        <v>129700</v>
      </c>
    </row>
    <row r="1166" spans="1:11" x14ac:dyDescent="0.25">
      <c r="A1166">
        <v>2165</v>
      </c>
      <c r="B1166" t="s">
        <v>1206</v>
      </c>
      <c r="C1166" t="s">
        <v>8</v>
      </c>
      <c r="D1166" t="s">
        <v>14</v>
      </c>
      <c r="E1166" t="s">
        <v>20</v>
      </c>
      <c r="F1166" t="s">
        <v>23</v>
      </c>
      <c r="G1166">
        <v>31</v>
      </c>
      <c r="H1166" s="13">
        <v>53957</v>
      </c>
      <c r="I1166" s="13">
        <v>20359</v>
      </c>
      <c r="J1166" t="s">
        <v>25</v>
      </c>
      <c r="K1166" s="13">
        <f>HR_Data[[#This Row],[Salary]]+HR_Data[[#This Row],[Bonus]]</f>
        <v>74316</v>
      </c>
    </row>
    <row r="1167" spans="1:11" x14ac:dyDescent="0.25">
      <c r="A1167">
        <v>2166</v>
      </c>
      <c r="B1167" t="s">
        <v>1207</v>
      </c>
      <c r="C1167" t="s">
        <v>2042</v>
      </c>
      <c r="D1167" t="s">
        <v>15</v>
      </c>
      <c r="E1167" t="s">
        <v>18</v>
      </c>
      <c r="F1167" t="s">
        <v>21</v>
      </c>
      <c r="G1167">
        <v>30</v>
      </c>
      <c r="H1167" s="13">
        <v>33908</v>
      </c>
      <c r="I1167" s="13">
        <v>18240</v>
      </c>
      <c r="J1167" t="s">
        <v>25</v>
      </c>
      <c r="K1167" s="13">
        <f>HR_Data[[#This Row],[Salary]]+HR_Data[[#This Row],[Bonus]]</f>
        <v>52148</v>
      </c>
    </row>
    <row r="1168" spans="1:11" x14ac:dyDescent="0.25">
      <c r="A1168">
        <v>2167</v>
      </c>
      <c r="B1168" t="s">
        <v>1208</v>
      </c>
      <c r="C1168" t="s">
        <v>2042</v>
      </c>
      <c r="D1168" t="s">
        <v>14</v>
      </c>
      <c r="E1168" t="s">
        <v>18</v>
      </c>
      <c r="F1168" t="s">
        <v>23</v>
      </c>
      <c r="G1168">
        <v>36</v>
      </c>
      <c r="H1168" s="13">
        <v>116188</v>
      </c>
      <c r="I1168" s="13">
        <v>5107</v>
      </c>
      <c r="J1168" t="s">
        <v>25</v>
      </c>
      <c r="K1168" s="13">
        <f>HR_Data[[#This Row],[Salary]]+HR_Data[[#This Row],[Bonus]]</f>
        <v>121295</v>
      </c>
    </row>
    <row r="1169" spans="1:11" x14ac:dyDescent="0.25">
      <c r="A1169">
        <v>2168</v>
      </c>
      <c r="B1169" t="s">
        <v>1209</v>
      </c>
      <c r="C1169" t="s">
        <v>2042</v>
      </c>
      <c r="D1169" t="s">
        <v>14</v>
      </c>
      <c r="E1169" t="s">
        <v>19</v>
      </c>
      <c r="F1169" t="s">
        <v>21</v>
      </c>
      <c r="G1169">
        <v>23</v>
      </c>
      <c r="H1169" s="13">
        <v>115880</v>
      </c>
      <c r="I1169" s="13">
        <v>20524</v>
      </c>
      <c r="J1169" t="s">
        <v>25</v>
      </c>
      <c r="K1169" s="13">
        <f>HR_Data[[#This Row],[Salary]]+HR_Data[[#This Row],[Bonus]]</f>
        <v>136404</v>
      </c>
    </row>
    <row r="1170" spans="1:11" x14ac:dyDescent="0.25">
      <c r="A1170">
        <v>2169</v>
      </c>
      <c r="B1170" t="s">
        <v>1210</v>
      </c>
      <c r="C1170" t="s">
        <v>8</v>
      </c>
      <c r="D1170" t="s">
        <v>15</v>
      </c>
      <c r="E1170" t="s">
        <v>20</v>
      </c>
      <c r="F1170" t="s">
        <v>22</v>
      </c>
      <c r="G1170">
        <v>46</v>
      </c>
      <c r="H1170" s="13">
        <v>110570</v>
      </c>
      <c r="I1170" s="13">
        <v>6626</v>
      </c>
      <c r="J1170" t="s">
        <v>25</v>
      </c>
      <c r="K1170" s="13">
        <f>HR_Data[[#This Row],[Salary]]+HR_Data[[#This Row],[Bonus]]</f>
        <v>117196</v>
      </c>
    </row>
    <row r="1171" spans="1:11" x14ac:dyDescent="0.25">
      <c r="A1171">
        <v>2170</v>
      </c>
      <c r="B1171" t="s">
        <v>1211</v>
      </c>
      <c r="C1171" t="s">
        <v>27</v>
      </c>
      <c r="D1171" t="s">
        <v>14</v>
      </c>
      <c r="E1171" t="s">
        <v>19</v>
      </c>
      <c r="F1171" t="s">
        <v>24</v>
      </c>
      <c r="G1171">
        <v>34</v>
      </c>
      <c r="H1171" s="13">
        <v>111324</v>
      </c>
      <c r="I1171" s="13">
        <v>11229</v>
      </c>
      <c r="J1171" t="s">
        <v>25</v>
      </c>
      <c r="K1171" s="13">
        <f>HR_Data[[#This Row],[Salary]]+HR_Data[[#This Row],[Bonus]]</f>
        <v>122553</v>
      </c>
    </row>
    <row r="1172" spans="1:11" x14ac:dyDescent="0.25">
      <c r="A1172">
        <v>2171</v>
      </c>
      <c r="B1172" t="s">
        <v>1212</v>
      </c>
      <c r="C1172" t="s">
        <v>2042</v>
      </c>
      <c r="D1172" t="s">
        <v>15</v>
      </c>
      <c r="E1172" t="s">
        <v>18</v>
      </c>
      <c r="F1172" t="s">
        <v>21</v>
      </c>
      <c r="G1172">
        <v>55</v>
      </c>
      <c r="H1172" s="13">
        <v>98287</v>
      </c>
      <c r="I1172" s="13">
        <v>11877</v>
      </c>
      <c r="J1172" t="s">
        <v>25</v>
      </c>
      <c r="K1172" s="13">
        <f>HR_Data[[#This Row],[Salary]]+HR_Data[[#This Row],[Bonus]]</f>
        <v>110164</v>
      </c>
    </row>
    <row r="1173" spans="1:11" x14ac:dyDescent="0.25">
      <c r="A1173">
        <v>2172</v>
      </c>
      <c r="B1173" t="s">
        <v>1213</v>
      </c>
      <c r="C1173" t="s">
        <v>10</v>
      </c>
      <c r="D1173" t="s">
        <v>14</v>
      </c>
      <c r="E1173" t="s">
        <v>16</v>
      </c>
      <c r="F1173" t="s">
        <v>23</v>
      </c>
      <c r="G1173">
        <v>55</v>
      </c>
      <c r="H1173" s="13">
        <v>67482</v>
      </c>
      <c r="I1173" s="13">
        <v>5874</v>
      </c>
      <c r="J1173" t="s">
        <v>25</v>
      </c>
      <c r="K1173" s="13">
        <f>HR_Data[[#This Row],[Salary]]+HR_Data[[#This Row],[Bonus]]</f>
        <v>73356</v>
      </c>
    </row>
    <row r="1174" spans="1:11" x14ac:dyDescent="0.25">
      <c r="A1174">
        <v>2173</v>
      </c>
      <c r="B1174" t="s">
        <v>1214</v>
      </c>
      <c r="C1174" t="s">
        <v>9</v>
      </c>
      <c r="D1174" t="s">
        <v>14</v>
      </c>
      <c r="E1174" t="s">
        <v>18</v>
      </c>
      <c r="F1174" t="s">
        <v>21</v>
      </c>
      <c r="G1174">
        <v>56</v>
      </c>
      <c r="H1174" s="13">
        <v>119329</v>
      </c>
      <c r="I1174" s="13">
        <v>10543</v>
      </c>
      <c r="J1174" t="s">
        <v>25</v>
      </c>
      <c r="K1174" s="13">
        <f>HR_Data[[#This Row],[Salary]]+HR_Data[[#This Row],[Bonus]]</f>
        <v>129872</v>
      </c>
    </row>
    <row r="1175" spans="1:11" x14ac:dyDescent="0.25">
      <c r="A1175">
        <v>2174</v>
      </c>
      <c r="B1175" t="s">
        <v>1215</v>
      </c>
      <c r="C1175" t="s">
        <v>9</v>
      </c>
      <c r="D1175" t="s">
        <v>14</v>
      </c>
      <c r="E1175" t="s">
        <v>19</v>
      </c>
      <c r="F1175" t="s">
        <v>21</v>
      </c>
      <c r="G1175">
        <v>59</v>
      </c>
      <c r="H1175" s="13">
        <v>118375</v>
      </c>
      <c r="I1175" s="13">
        <v>8809</v>
      </c>
      <c r="J1175" t="s">
        <v>27</v>
      </c>
      <c r="K1175" s="13">
        <f>HR_Data[[#This Row],[Salary]]+HR_Data[[#This Row],[Bonus]]</f>
        <v>127184</v>
      </c>
    </row>
    <row r="1176" spans="1:11" x14ac:dyDescent="0.25">
      <c r="A1176">
        <v>2175</v>
      </c>
      <c r="B1176" t="s">
        <v>1216</v>
      </c>
      <c r="C1176" t="s">
        <v>9</v>
      </c>
      <c r="D1176" t="s">
        <v>15</v>
      </c>
      <c r="E1176" t="s">
        <v>20</v>
      </c>
      <c r="F1176" t="s">
        <v>21</v>
      </c>
      <c r="G1176">
        <v>24</v>
      </c>
      <c r="H1176" s="13">
        <v>69554.53</v>
      </c>
      <c r="I1176" s="13">
        <v>15603</v>
      </c>
      <c r="J1176" t="s">
        <v>25</v>
      </c>
      <c r="K1176" s="13">
        <f>HR_Data[[#This Row],[Salary]]+HR_Data[[#This Row],[Bonus]]</f>
        <v>85157.53</v>
      </c>
    </row>
    <row r="1177" spans="1:11" x14ac:dyDescent="0.25">
      <c r="A1177">
        <v>2176</v>
      </c>
      <c r="B1177" t="s">
        <v>1217</v>
      </c>
      <c r="C1177" t="s">
        <v>8</v>
      </c>
      <c r="D1177" t="s">
        <v>15</v>
      </c>
      <c r="E1177" t="s">
        <v>20</v>
      </c>
      <c r="F1177" t="s">
        <v>23</v>
      </c>
      <c r="G1177">
        <v>27</v>
      </c>
      <c r="H1177" s="13">
        <v>94921</v>
      </c>
      <c r="I1177" s="13">
        <v>7107</v>
      </c>
      <c r="J1177" t="s">
        <v>25</v>
      </c>
      <c r="K1177" s="13">
        <f>HR_Data[[#This Row],[Salary]]+HR_Data[[#This Row],[Bonus]]</f>
        <v>102028</v>
      </c>
    </row>
    <row r="1178" spans="1:11" x14ac:dyDescent="0.25">
      <c r="A1178">
        <v>2177</v>
      </c>
      <c r="B1178" t="s">
        <v>1218</v>
      </c>
      <c r="C1178" t="s">
        <v>8</v>
      </c>
      <c r="D1178" t="s">
        <v>14</v>
      </c>
      <c r="E1178" t="s">
        <v>19</v>
      </c>
      <c r="F1178" t="s">
        <v>24</v>
      </c>
      <c r="G1178">
        <v>40</v>
      </c>
      <c r="H1178" s="13">
        <v>103768</v>
      </c>
      <c r="I1178" s="13">
        <v>16745</v>
      </c>
      <c r="J1178" t="s">
        <v>25</v>
      </c>
      <c r="K1178" s="13">
        <f>HR_Data[[#This Row],[Salary]]+HR_Data[[#This Row],[Bonus]]</f>
        <v>120513</v>
      </c>
    </row>
    <row r="1179" spans="1:11" x14ac:dyDescent="0.25">
      <c r="A1179">
        <v>2178</v>
      </c>
      <c r="B1179" t="s">
        <v>1219</v>
      </c>
      <c r="C1179" t="s">
        <v>10</v>
      </c>
      <c r="D1179" t="s">
        <v>14</v>
      </c>
      <c r="E1179" t="s">
        <v>20</v>
      </c>
      <c r="F1179" t="s">
        <v>22</v>
      </c>
      <c r="G1179">
        <v>24</v>
      </c>
      <c r="H1179" s="13">
        <v>35831</v>
      </c>
      <c r="I1179" s="13">
        <v>14465</v>
      </c>
      <c r="J1179" t="s">
        <v>25</v>
      </c>
      <c r="K1179" s="13">
        <f>HR_Data[[#This Row],[Salary]]+HR_Data[[#This Row],[Bonus]]</f>
        <v>50296</v>
      </c>
    </row>
    <row r="1180" spans="1:11" x14ac:dyDescent="0.25">
      <c r="A1180">
        <v>2179</v>
      </c>
      <c r="B1180" t="s">
        <v>1220</v>
      </c>
      <c r="C1180" t="s">
        <v>9</v>
      </c>
      <c r="D1180" t="s">
        <v>15</v>
      </c>
      <c r="E1180" t="s">
        <v>17</v>
      </c>
      <c r="F1180" t="s">
        <v>24</v>
      </c>
      <c r="G1180">
        <v>39</v>
      </c>
      <c r="H1180" s="13">
        <v>40125</v>
      </c>
      <c r="I1180" s="13">
        <v>5559</v>
      </c>
      <c r="J1180" t="s">
        <v>25</v>
      </c>
      <c r="K1180" s="13">
        <f>HR_Data[[#This Row],[Salary]]+HR_Data[[#This Row],[Bonus]]</f>
        <v>45684</v>
      </c>
    </row>
    <row r="1181" spans="1:11" x14ac:dyDescent="0.25">
      <c r="A1181">
        <v>2180</v>
      </c>
      <c r="B1181" t="s">
        <v>1221</v>
      </c>
      <c r="C1181" t="s">
        <v>9</v>
      </c>
      <c r="D1181" t="s">
        <v>15</v>
      </c>
      <c r="E1181" t="s">
        <v>16</v>
      </c>
      <c r="F1181" t="s">
        <v>21</v>
      </c>
      <c r="G1181">
        <v>30</v>
      </c>
      <c r="H1181" s="13">
        <v>82451</v>
      </c>
      <c r="I1181" s="13">
        <v>13308</v>
      </c>
      <c r="J1181" t="s">
        <v>25</v>
      </c>
      <c r="K1181" s="13">
        <f>HR_Data[[#This Row],[Salary]]+HR_Data[[#This Row],[Bonus]]</f>
        <v>95759</v>
      </c>
    </row>
    <row r="1182" spans="1:11" x14ac:dyDescent="0.25">
      <c r="A1182">
        <v>2181</v>
      </c>
      <c r="B1182" t="s">
        <v>1222</v>
      </c>
      <c r="C1182" t="s">
        <v>2042</v>
      </c>
      <c r="D1182" t="s">
        <v>14</v>
      </c>
      <c r="E1182" t="s">
        <v>16</v>
      </c>
      <c r="F1182" t="s">
        <v>23</v>
      </c>
      <c r="G1182">
        <v>33</v>
      </c>
      <c r="H1182" s="13">
        <v>65708</v>
      </c>
      <c r="I1182" s="13">
        <v>26353</v>
      </c>
      <c r="J1182" t="s">
        <v>25</v>
      </c>
      <c r="K1182" s="13">
        <f>HR_Data[[#This Row],[Salary]]+HR_Data[[#This Row],[Bonus]]</f>
        <v>92061</v>
      </c>
    </row>
    <row r="1183" spans="1:11" x14ac:dyDescent="0.25">
      <c r="A1183">
        <v>2182</v>
      </c>
      <c r="B1183" t="s">
        <v>1223</v>
      </c>
      <c r="C1183" t="s">
        <v>8</v>
      </c>
      <c r="D1183" t="s">
        <v>14</v>
      </c>
      <c r="E1183" t="s">
        <v>16</v>
      </c>
      <c r="F1183" t="s">
        <v>24</v>
      </c>
      <c r="G1183">
        <v>26</v>
      </c>
      <c r="H1183" s="13">
        <v>37682</v>
      </c>
      <c r="I1183" s="13">
        <v>20250</v>
      </c>
      <c r="J1183" t="s">
        <v>25</v>
      </c>
      <c r="K1183" s="13">
        <f>HR_Data[[#This Row],[Salary]]+HR_Data[[#This Row],[Bonus]]</f>
        <v>57932</v>
      </c>
    </row>
    <row r="1184" spans="1:11" x14ac:dyDescent="0.25">
      <c r="A1184">
        <v>2183</v>
      </c>
      <c r="B1184" t="s">
        <v>1224</v>
      </c>
      <c r="C1184" t="s">
        <v>9</v>
      </c>
      <c r="D1184" t="s">
        <v>15</v>
      </c>
      <c r="E1184" t="s">
        <v>20</v>
      </c>
      <c r="F1184" t="s">
        <v>21</v>
      </c>
      <c r="G1184">
        <v>24</v>
      </c>
      <c r="H1184" s="13">
        <v>102824</v>
      </c>
      <c r="I1184" s="13">
        <v>18255</v>
      </c>
      <c r="J1184" t="s">
        <v>25</v>
      </c>
      <c r="K1184" s="13">
        <f>HR_Data[[#This Row],[Salary]]+HR_Data[[#This Row],[Bonus]]</f>
        <v>121079</v>
      </c>
    </row>
    <row r="1185" spans="1:11" x14ac:dyDescent="0.25">
      <c r="A1185">
        <v>2184</v>
      </c>
      <c r="B1185" t="s">
        <v>1225</v>
      </c>
      <c r="C1185" t="s">
        <v>11</v>
      </c>
      <c r="D1185" t="s">
        <v>15</v>
      </c>
      <c r="E1185" t="s">
        <v>20</v>
      </c>
      <c r="F1185" t="s">
        <v>22</v>
      </c>
      <c r="G1185">
        <v>32</v>
      </c>
      <c r="H1185" s="13">
        <v>55794</v>
      </c>
      <c r="I1185" s="13">
        <v>8046</v>
      </c>
      <c r="J1185" t="s">
        <v>25</v>
      </c>
      <c r="K1185" s="13">
        <f>HR_Data[[#This Row],[Salary]]+HR_Data[[#This Row],[Bonus]]</f>
        <v>63840</v>
      </c>
    </row>
    <row r="1186" spans="1:11" x14ac:dyDescent="0.25">
      <c r="A1186">
        <v>2185</v>
      </c>
      <c r="B1186" t="s">
        <v>1226</v>
      </c>
      <c r="C1186" t="s">
        <v>10</v>
      </c>
      <c r="D1186" t="s">
        <v>15</v>
      </c>
      <c r="E1186" t="s">
        <v>18</v>
      </c>
      <c r="F1186" t="s">
        <v>22</v>
      </c>
      <c r="G1186">
        <v>51</v>
      </c>
      <c r="H1186" s="13">
        <v>79372</v>
      </c>
      <c r="I1186" s="13">
        <v>18856</v>
      </c>
      <c r="J1186" t="s">
        <v>26</v>
      </c>
      <c r="K1186" s="13">
        <f>HR_Data[[#This Row],[Salary]]+HR_Data[[#This Row],[Bonus]]</f>
        <v>98228</v>
      </c>
    </row>
    <row r="1187" spans="1:11" x14ac:dyDescent="0.25">
      <c r="A1187">
        <v>2186</v>
      </c>
      <c r="B1187" t="s">
        <v>1227</v>
      </c>
      <c r="C1187" t="s">
        <v>11</v>
      </c>
      <c r="D1187" t="s">
        <v>15</v>
      </c>
      <c r="E1187" t="s">
        <v>18</v>
      </c>
      <c r="F1187" t="s">
        <v>22</v>
      </c>
      <c r="G1187">
        <v>25</v>
      </c>
      <c r="H1187" s="13">
        <v>59477</v>
      </c>
      <c r="I1187" s="13">
        <v>21427</v>
      </c>
      <c r="J1187" t="s">
        <v>25</v>
      </c>
      <c r="K1187" s="13">
        <f>HR_Data[[#This Row],[Salary]]+HR_Data[[#This Row],[Bonus]]</f>
        <v>80904</v>
      </c>
    </row>
    <row r="1188" spans="1:11" x14ac:dyDescent="0.25">
      <c r="A1188">
        <v>2187</v>
      </c>
      <c r="B1188" t="s">
        <v>1228</v>
      </c>
      <c r="C1188" t="s">
        <v>11</v>
      </c>
      <c r="D1188" t="s">
        <v>15</v>
      </c>
      <c r="E1188" t="s">
        <v>16</v>
      </c>
      <c r="F1188" t="s">
        <v>21</v>
      </c>
      <c r="G1188">
        <v>26</v>
      </c>
      <c r="H1188" s="13">
        <v>73863</v>
      </c>
      <c r="I1188" s="13">
        <v>5508</v>
      </c>
      <c r="J1188" t="s">
        <v>25</v>
      </c>
      <c r="K1188" s="13">
        <f>HR_Data[[#This Row],[Salary]]+HR_Data[[#This Row],[Bonus]]</f>
        <v>79371</v>
      </c>
    </row>
    <row r="1189" spans="1:11" x14ac:dyDescent="0.25">
      <c r="A1189">
        <v>2188</v>
      </c>
      <c r="B1189" t="s">
        <v>1229</v>
      </c>
      <c r="C1189" t="s">
        <v>10</v>
      </c>
      <c r="D1189" t="s">
        <v>14</v>
      </c>
      <c r="E1189" t="s">
        <v>17</v>
      </c>
      <c r="F1189" t="s">
        <v>23</v>
      </c>
      <c r="G1189">
        <v>22</v>
      </c>
      <c r="H1189" s="13">
        <v>109941</v>
      </c>
      <c r="I1189" s="13">
        <v>11107</v>
      </c>
      <c r="J1189" t="s">
        <v>25</v>
      </c>
      <c r="K1189" s="13">
        <f>HR_Data[[#This Row],[Salary]]+HR_Data[[#This Row],[Bonus]]</f>
        <v>121048</v>
      </c>
    </row>
    <row r="1190" spans="1:11" x14ac:dyDescent="0.25">
      <c r="A1190">
        <v>2189</v>
      </c>
      <c r="B1190" t="s">
        <v>1230</v>
      </c>
      <c r="C1190" t="s">
        <v>11</v>
      </c>
      <c r="D1190" t="s">
        <v>15</v>
      </c>
      <c r="E1190" t="s">
        <v>18</v>
      </c>
      <c r="F1190" t="s">
        <v>24</v>
      </c>
      <c r="G1190">
        <v>48</v>
      </c>
      <c r="H1190" s="13">
        <v>58737</v>
      </c>
      <c r="I1190" s="13">
        <v>18476</v>
      </c>
      <c r="J1190" t="s">
        <v>25</v>
      </c>
      <c r="K1190" s="13">
        <f>HR_Data[[#This Row],[Salary]]+HR_Data[[#This Row],[Bonus]]</f>
        <v>77213</v>
      </c>
    </row>
    <row r="1191" spans="1:11" x14ac:dyDescent="0.25">
      <c r="A1191">
        <v>2190</v>
      </c>
      <c r="B1191" t="s">
        <v>1231</v>
      </c>
      <c r="C1191" t="s">
        <v>9</v>
      </c>
      <c r="D1191" t="s">
        <v>14</v>
      </c>
      <c r="E1191" t="s">
        <v>18</v>
      </c>
      <c r="F1191" t="s">
        <v>22</v>
      </c>
      <c r="G1191">
        <v>49</v>
      </c>
      <c r="H1191" s="13">
        <v>22620</v>
      </c>
      <c r="I1191" s="13">
        <v>8439</v>
      </c>
      <c r="J1191" t="s">
        <v>26</v>
      </c>
      <c r="K1191" s="13">
        <f>HR_Data[[#This Row],[Salary]]+HR_Data[[#This Row],[Bonus]]</f>
        <v>31059</v>
      </c>
    </row>
    <row r="1192" spans="1:11" x14ac:dyDescent="0.25">
      <c r="A1192">
        <v>2191</v>
      </c>
      <c r="B1192" t="s">
        <v>1232</v>
      </c>
      <c r="C1192" t="s">
        <v>8</v>
      </c>
      <c r="D1192" t="s">
        <v>15</v>
      </c>
      <c r="E1192" t="s">
        <v>20</v>
      </c>
      <c r="F1192" t="s">
        <v>21</v>
      </c>
      <c r="G1192">
        <v>50</v>
      </c>
      <c r="H1192" s="13">
        <v>69554.53</v>
      </c>
      <c r="I1192" s="13">
        <v>25312</v>
      </c>
      <c r="J1192" t="s">
        <v>25</v>
      </c>
      <c r="K1192" s="13">
        <f>HR_Data[[#This Row],[Salary]]+HR_Data[[#This Row],[Bonus]]</f>
        <v>94866.53</v>
      </c>
    </row>
    <row r="1193" spans="1:11" x14ac:dyDescent="0.25">
      <c r="A1193">
        <v>2192</v>
      </c>
      <c r="B1193" t="s">
        <v>1233</v>
      </c>
      <c r="C1193" t="s">
        <v>10</v>
      </c>
      <c r="D1193" t="s">
        <v>14</v>
      </c>
      <c r="E1193" t="s">
        <v>17</v>
      </c>
      <c r="F1193" t="s">
        <v>21</v>
      </c>
      <c r="G1193">
        <v>39</v>
      </c>
      <c r="H1193" s="13">
        <v>60138</v>
      </c>
      <c r="I1193" s="13">
        <v>26795</v>
      </c>
      <c r="J1193" t="s">
        <v>25</v>
      </c>
      <c r="K1193" s="13">
        <f>HR_Data[[#This Row],[Salary]]+HR_Data[[#This Row],[Bonus]]</f>
        <v>86933</v>
      </c>
    </row>
    <row r="1194" spans="1:11" x14ac:dyDescent="0.25">
      <c r="A1194">
        <v>2193</v>
      </c>
      <c r="B1194" t="s">
        <v>1234</v>
      </c>
      <c r="C1194" t="s">
        <v>2042</v>
      </c>
      <c r="D1194" t="s">
        <v>15</v>
      </c>
      <c r="E1194" t="s">
        <v>16</v>
      </c>
      <c r="F1194" t="s">
        <v>24</v>
      </c>
      <c r="G1194">
        <v>33</v>
      </c>
      <c r="H1194" s="13">
        <v>99390</v>
      </c>
      <c r="I1194" s="13">
        <v>18136</v>
      </c>
      <c r="J1194" t="s">
        <v>25</v>
      </c>
      <c r="K1194" s="13">
        <f>HR_Data[[#This Row],[Salary]]+HR_Data[[#This Row],[Bonus]]</f>
        <v>117526</v>
      </c>
    </row>
    <row r="1195" spans="1:11" x14ac:dyDescent="0.25">
      <c r="A1195">
        <v>2194</v>
      </c>
      <c r="B1195" t="s">
        <v>1235</v>
      </c>
      <c r="C1195" t="s">
        <v>11</v>
      </c>
      <c r="D1195" t="s">
        <v>15</v>
      </c>
      <c r="E1195" t="s">
        <v>18</v>
      </c>
      <c r="F1195" t="s">
        <v>22</v>
      </c>
      <c r="G1195">
        <v>34</v>
      </c>
      <c r="H1195" s="13">
        <v>73024</v>
      </c>
      <c r="I1195" s="13">
        <v>19167</v>
      </c>
      <c r="J1195" t="s">
        <v>25</v>
      </c>
      <c r="K1195" s="13">
        <f>HR_Data[[#This Row],[Salary]]+HR_Data[[#This Row],[Bonus]]</f>
        <v>92191</v>
      </c>
    </row>
    <row r="1196" spans="1:11" x14ac:dyDescent="0.25">
      <c r="A1196">
        <v>2195</v>
      </c>
      <c r="B1196" t="s">
        <v>1236</v>
      </c>
      <c r="C1196" t="s">
        <v>10</v>
      </c>
      <c r="D1196" t="s">
        <v>14</v>
      </c>
      <c r="E1196" t="s">
        <v>17</v>
      </c>
      <c r="F1196" t="s">
        <v>21</v>
      </c>
      <c r="G1196">
        <v>23</v>
      </c>
      <c r="H1196" s="13">
        <v>29677</v>
      </c>
      <c r="I1196" s="13">
        <v>22300</v>
      </c>
      <c r="J1196" t="s">
        <v>26</v>
      </c>
      <c r="K1196" s="13">
        <f>HR_Data[[#This Row],[Salary]]+HR_Data[[#This Row],[Bonus]]</f>
        <v>51977</v>
      </c>
    </row>
    <row r="1197" spans="1:11" x14ac:dyDescent="0.25">
      <c r="A1197">
        <v>2196</v>
      </c>
      <c r="B1197" t="s">
        <v>1237</v>
      </c>
      <c r="C1197" t="s">
        <v>12</v>
      </c>
      <c r="D1197" t="s">
        <v>14</v>
      </c>
      <c r="E1197" t="s">
        <v>17</v>
      </c>
      <c r="F1197" t="s">
        <v>24</v>
      </c>
      <c r="G1197">
        <v>58</v>
      </c>
      <c r="H1197" s="13">
        <v>64111</v>
      </c>
      <c r="I1197" s="13">
        <v>22182</v>
      </c>
      <c r="J1197" t="s">
        <v>26</v>
      </c>
      <c r="K1197" s="13">
        <f>HR_Data[[#This Row],[Salary]]+HR_Data[[#This Row],[Bonus]]</f>
        <v>86293</v>
      </c>
    </row>
    <row r="1198" spans="1:11" x14ac:dyDescent="0.25">
      <c r="A1198">
        <v>2197</v>
      </c>
      <c r="B1198" t="s">
        <v>1238</v>
      </c>
      <c r="C1198" t="s">
        <v>12</v>
      </c>
      <c r="D1198" t="s">
        <v>15</v>
      </c>
      <c r="E1198" t="s">
        <v>16</v>
      </c>
      <c r="F1198" t="s">
        <v>23</v>
      </c>
      <c r="G1198">
        <v>37</v>
      </c>
      <c r="H1198" s="13">
        <v>44074</v>
      </c>
      <c r="I1198" s="13">
        <v>9971</v>
      </c>
      <c r="J1198" t="s">
        <v>25</v>
      </c>
      <c r="K1198" s="13">
        <f>HR_Data[[#This Row],[Salary]]+HR_Data[[#This Row],[Bonus]]</f>
        <v>54045</v>
      </c>
    </row>
    <row r="1199" spans="1:11" x14ac:dyDescent="0.25">
      <c r="A1199">
        <v>2198</v>
      </c>
      <c r="B1199" t="s">
        <v>1239</v>
      </c>
      <c r="C1199" t="s">
        <v>8</v>
      </c>
      <c r="D1199" t="s">
        <v>15</v>
      </c>
      <c r="E1199" t="s">
        <v>17</v>
      </c>
      <c r="F1199" t="s">
        <v>23</v>
      </c>
      <c r="G1199">
        <v>45</v>
      </c>
      <c r="H1199" s="13">
        <v>37824</v>
      </c>
      <c r="I1199" s="13">
        <v>23144</v>
      </c>
      <c r="J1199" t="s">
        <v>25</v>
      </c>
      <c r="K1199" s="13">
        <f>HR_Data[[#This Row],[Salary]]+HR_Data[[#This Row],[Bonus]]</f>
        <v>60968</v>
      </c>
    </row>
    <row r="1200" spans="1:11" x14ac:dyDescent="0.25">
      <c r="A1200">
        <v>2199</v>
      </c>
      <c r="B1200" t="s">
        <v>1240</v>
      </c>
      <c r="C1200" t="s">
        <v>9</v>
      </c>
      <c r="D1200" t="s">
        <v>15</v>
      </c>
      <c r="E1200" t="s">
        <v>17</v>
      </c>
      <c r="F1200" t="s">
        <v>23</v>
      </c>
      <c r="G1200">
        <v>56</v>
      </c>
      <c r="H1200" s="13">
        <v>20765</v>
      </c>
      <c r="I1200" s="13">
        <v>24659</v>
      </c>
      <c r="J1200" t="s">
        <v>25</v>
      </c>
      <c r="K1200" s="13">
        <f>HR_Data[[#This Row],[Salary]]+HR_Data[[#This Row],[Bonus]]</f>
        <v>45424</v>
      </c>
    </row>
    <row r="1201" spans="1:11" x14ac:dyDescent="0.25">
      <c r="A1201">
        <v>2200</v>
      </c>
      <c r="B1201" t="s">
        <v>1241</v>
      </c>
      <c r="C1201" t="s">
        <v>8</v>
      </c>
      <c r="D1201" t="s">
        <v>15</v>
      </c>
      <c r="E1201" t="s">
        <v>17</v>
      </c>
      <c r="F1201" t="s">
        <v>22</v>
      </c>
      <c r="G1201">
        <v>43</v>
      </c>
      <c r="H1201" s="13">
        <v>65439</v>
      </c>
      <c r="I1201" s="13">
        <v>20883</v>
      </c>
      <c r="J1201" t="s">
        <v>25</v>
      </c>
      <c r="K1201" s="13">
        <f>HR_Data[[#This Row],[Salary]]+HR_Data[[#This Row],[Bonus]]</f>
        <v>86322</v>
      </c>
    </row>
    <row r="1202" spans="1:11" x14ac:dyDescent="0.25">
      <c r="A1202">
        <v>2201</v>
      </c>
      <c r="B1202" t="s">
        <v>1242</v>
      </c>
      <c r="C1202" t="s">
        <v>8</v>
      </c>
      <c r="D1202" t="s">
        <v>15</v>
      </c>
      <c r="E1202" t="s">
        <v>18</v>
      </c>
      <c r="F1202" t="s">
        <v>24</v>
      </c>
      <c r="G1202">
        <v>57</v>
      </c>
      <c r="H1202" s="13">
        <v>117151</v>
      </c>
      <c r="I1202" s="13">
        <v>5818</v>
      </c>
      <c r="J1202" t="s">
        <v>25</v>
      </c>
      <c r="K1202" s="13">
        <f>HR_Data[[#This Row],[Salary]]+HR_Data[[#This Row],[Bonus]]</f>
        <v>122969</v>
      </c>
    </row>
    <row r="1203" spans="1:11" x14ac:dyDescent="0.25">
      <c r="A1203">
        <v>2202</v>
      </c>
      <c r="B1203" t="s">
        <v>1243</v>
      </c>
      <c r="C1203" t="s">
        <v>8</v>
      </c>
      <c r="D1203" t="s">
        <v>14</v>
      </c>
      <c r="E1203" t="s">
        <v>16</v>
      </c>
      <c r="F1203" t="s">
        <v>24</v>
      </c>
      <c r="G1203">
        <v>32</v>
      </c>
      <c r="H1203" s="13">
        <v>68926</v>
      </c>
      <c r="I1203" s="13">
        <v>15360</v>
      </c>
      <c r="J1203" t="s">
        <v>25</v>
      </c>
      <c r="K1203" s="13">
        <f>HR_Data[[#This Row],[Salary]]+HR_Data[[#This Row],[Bonus]]</f>
        <v>84286</v>
      </c>
    </row>
    <row r="1204" spans="1:11" x14ac:dyDescent="0.25">
      <c r="A1204">
        <v>2203</v>
      </c>
      <c r="B1204" t="s">
        <v>1244</v>
      </c>
      <c r="C1204" t="s">
        <v>8</v>
      </c>
      <c r="D1204" t="s">
        <v>14</v>
      </c>
      <c r="E1204" t="s">
        <v>17</v>
      </c>
      <c r="F1204" t="s">
        <v>21</v>
      </c>
      <c r="G1204">
        <v>50</v>
      </c>
      <c r="H1204" s="13">
        <v>56860</v>
      </c>
      <c r="I1204" s="13">
        <v>26424</v>
      </c>
      <c r="J1204" t="s">
        <v>26</v>
      </c>
      <c r="K1204" s="13">
        <f>HR_Data[[#This Row],[Salary]]+HR_Data[[#This Row],[Bonus]]</f>
        <v>83284</v>
      </c>
    </row>
    <row r="1205" spans="1:11" x14ac:dyDescent="0.25">
      <c r="A1205">
        <v>2204</v>
      </c>
      <c r="B1205" t="s">
        <v>1245</v>
      </c>
      <c r="C1205" t="s">
        <v>2042</v>
      </c>
      <c r="D1205" t="s">
        <v>15</v>
      </c>
      <c r="E1205" t="s">
        <v>17</v>
      </c>
      <c r="F1205" t="s">
        <v>21</v>
      </c>
      <c r="G1205">
        <v>56</v>
      </c>
      <c r="H1205" s="13">
        <v>32975</v>
      </c>
      <c r="I1205" s="13">
        <v>16927</v>
      </c>
      <c r="J1205" t="s">
        <v>25</v>
      </c>
      <c r="K1205" s="13">
        <f>HR_Data[[#This Row],[Salary]]+HR_Data[[#This Row],[Bonus]]</f>
        <v>49902</v>
      </c>
    </row>
    <row r="1206" spans="1:11" x14ac:dyDescent="0.25">
      <c r="A1206">
        <v>2205</v>
      </c>
      <c r="B1206" t="s">
        <v>1246</v>
      </c>
      <c r="C1206" t="s">
        <v>2042</v>
      </c>
      <c r="D1206" t="s">
        <v>14</v>
      </c>
      <c r="E1206" t="s">
        <v>18</v>
      </c>
      <c r="F1206" t="s">
        <v>21</v>
      </c>
      <c r="G1206">
        <v>36</v>
      </c>
      <c r="H1206" s="13">
        <v>94877</v>
      </c>
      <c r="I1206" s="13">
        <v>21023</v>
      </c>
      <c r="J1206" t="s">
        <v>26</v>
      </c>
      <c r="K1206" s="13">
        <f>HR_Data[[#This Row],[Salary]]+HR_Data[[#This Row],[Bonus]]</f>
        <v>115900</v>
      </c>
    </row>
    <row r="1207" spans="1:11" x14ac:dyDescent="0.25">
      <c r="A1207">
        <v>2206</v>
      </c>
      <c r="B1207" t="s">
        <v>1247</v>
      </c>
      <c r="C1207" t="s">
        <v>10</v>
      </c>
      <c r="D1207" t="s">
        <v>14</v>
      </c>
      <c r="E1207" t="s">
        <v>16</v>
      </c>
      <c r="F1207" t="s">
        <v>24</v>
      </c>
      <c r="G1207">
        <v>52</v>
      </c>
      <c r="H1207" s="13">
        <v>113677</v>
      </c>
      <c r="I1207" s="13">
        <v>8065</v>
      </c>
      <c r="J1207" t="s">
        <v>25</v>
      </c>
      <c r="K1207" s="13">
        <f>HR_Data[[#This Row],[Salary]]+HR_Data[[#This Row],[Bonus]]</f>
        <v>121742</v>
      </c>
    </row>
    <row r="1208" spans="1:11" x14ac:dyDescent="0.25">
      <c r="A1208">
        <v>2207</v>
      </c>
      <c r="B1208" t="s">
        <v>1248</v>
      </c>
      <c r="C1208" t="s">
        <v>12</v>
      </c>
      <c r="D1208" t="s">
        <v>14</v>
      </c>
      <c r="E1208" t="s">
        <v>20</v>
      </c>
      <c r="F1208" t="s">
        <v>21</v>
      </c>
      <c r="G1208">
        <v>37</v>
      </c>
      <c r="H1208" s="13">
        <v>97870</v>
      </c>
      <c r="I1208" s="13">
        <v>8259</v>
      </c>
      <c r="J1208" t="s">
        <v>25</v>
      </c>
      <c r="K1208" s="13">
        <f>HR_Data[[#This Row],[Salary]]+HR_Data[[#This Row],[Bonus]]</f>
        <v>106129</v>
      </c>
    </row>
    <row r="1209" spans="1:11" x14ac:dyDescent="0.25">
      <c r="A1209">
        <v>2208</v>
      </c>
      <c r="B1209" t="s">
        <v>1249</v>
      </c>
      <c r="C1209" t="s">
        <v>8</v>
      </c>
      <c r="D1209" t="s">
        <v>15</v>
      </c>
      <c r="E1209" t="s">
        <v>18</v>
      </c>
      <c r="F1209" t="s">
        <v>24</v>
      </c>
      <c r="G1209">
        <v>31</v>
      </c>
      <c r="H1209" s="13">
        <v>101371</v>
      </c>
      <c r="I1209" s="13">
        <v>22290</v>
      </c>
      <c r="J1209" t="s">
        <v>26</v>
      </c>
      <c r="K1209" s="13">
        <f>HR_Data[[#This Row],[Salary]]+HR_Data[[#This Row],[Bonus]]</f>
        <v>123661</v>
      </c>
    </row>
    <row r="1210" spans="1:11" x14ac:dyDescent="0.25">
      <c r="A1210">
        <v>2209</v>
      </c>
      <c r="B1210" t="s">
        <v>1250</v>
      </c>
      <c r="C1210" t="s">
        <v>10</v>
      </c>
      <c r="D1210" t="s">
        <v>14</v>
      </c>
      <c r="E1210" t="s">
        <v>16</v>
      </c>
      <c r="F1210" t="s">
        <v>24</v>
      </c>
      <c r="G1210">
        <v>53</v>
      </c>
      <c r="H1210" s="13">
        <v>46548</v>
      </c>
      <c r="I1210" s="13">
        <v>17300</v>
      </c>
      <c r="J1210" t="s">
        <v>26</v>
      </c>
      <c r="K1210" s="13">
        <f>HR_Data[[#This Row],[Salary]]+HR_Data[[#This Row],[Bonus]]</f>
        <v>63848</v>
      </c>
    </row>
    <row r="1211" spans="1:11" x14ac:dyDescent="0.25">
      <c r="A1211">
        <v>2210</v>
      </c>
      <c r="B1211" t="s">
        <v>1251</v>
      </c>
      <c r="C1211" t="s">
        <v>12</v>
      </c>
      <c r="D1211" t="s">
        <v>15</v>
      </c>
      <c r="E1211" t="s">
        <v>17</v>
      </c>
      <c r="F1211" t="s">
        <v>23</v>
      </c>
      <c r="G1211">
        <v>23</v>
      </c>
      <c r="H1211" s="13">
        <v>110575</v>
      </c>
      <c r="I1211" s="13">
        <v>5602</v>
      </c>
      <c r="J1211" t="s">
        <v>25</v>
      </c>
      <c r="K1211" s="13">
        <f>HR_Data[[#This Row],[Salary]]+HR_Data[[#This Row],[Bonus]]</f>
        <v>116177</v>
      </c>
    </row>
    <row r="1212" spans="1:11" x14ac:dyDescent="0.25">
      <c r="A1212">
        <v>2211</v>
      </c>
      <c r="B1212" t="s">
        <v>1252</v>
      </c>
      <c r="C1212" t="s">
        <v>11</v>
      </c>
      <c r="D1212" t="s">
        <v>14</v>
      </c>
      <c r="E1212" t="s">
        <v>16</v>
      </c>
      <c r="F1212" t="s">
        <v>21</v>
      </c>
      <c r="G1212">
        <v>45</v>
      </c>
      <c r="H1212" s="13">
        <v>118066</v>
      </c>
      <c r="I1212" s="13">
        <v>9295</v>
      </c>
      <c r="J1212" t="s">
        <v>25</v>
      </c>
      <c r="K1212" s="13">
        <f>HR_Data[[#This Row],[Salary]]+HR_Data[[#This Row],[Bonus]]</f>
        <v>127361</v>
      </c>
    </row>
    <row r="1213" spans="1:11" x14ac:dyDescent="0.25">
      <c r="A1213">
        <v>2212</v>
      </c>
      <c r="B1213" t="s">
        <v>1253</v>
      </c>
      <c r="C1213" t="s">
        <v>9</v>
      </c>
      <c r="D1213" t="s">
        <v>15</v>
      </c>
      <c r="E1213" t="s">
        <v>16</v>
      </c>
      <c r="F1213" t="s">
        <v>23</v>
      </c>
      <c r="G1213">
        <v>44</v>
      </c>
      <c r="H1213" s="13">
        <v>58736</v>
      </c>
      <c r="I1213" s="13">
        <v>14983</v>
      </c>
      <c r="J1213" t="s">
        <v>25</v>
      </c>
      <c r="K1213" s="13">
        <f>HR_Data[[#This Row],[Salary]]+HR_Data[[#This Row],[Bonus]]</f>
        <v>73719</v>
      </c>
    </row>
    <row r="1214" spans="1:11" x14ac:dyDescent="0.25">
      <c r="A1214">
        <v>2213</v>
      </c>
      <c r="B1214" t="s">
        <v>1254</v>
      </c>
      <c r="C1214" t="s">
        <v>2042</v>
      </c>
      <c r="D1214" t="s">
        <v>14</v>
      </c>
      <c r="E1214" t="s">
        <v>16</v>
      </c>
      <c r="F1214" t="s">
        <v>22</v>
      </c>
      <c r="G1214">
        <v>23</v>
      </c>
      <c r="H1214" s="13">
        <v>81562</v>
      </c>
      <c r="I1214" s="13">
        <v>8527</v>
      </c>
      <c r="J1214" t="s">
        <v>26</v>
      </c>
      <c r="K1214" s="13">
        <f>HR_Data[[#This Row],[Salary]]+HR_Data[[#This Row],[Bonus]]</f>
        <v>90089</v>
      </c>
    </row>
    <row r="1215" spans="1:11" x14ac:dyDescent="0.25">
      <c r="A1215">
        <v>2214</v>
      </c>
      <c r="B1215" t="s">
        <v>1255</v>
      </c>
      <c r="C1215" t="s">
        <v>11</v>
      </c>
      <c r="D1215" t="s">
        <v>15</v>
      </c>
      <c r="E1215" t="s">
        <v>20</v>
      </c>
      <c r="F1215" t="s">
        <v>22</v>
      </c>
      <c r="G1215">
        <v>59</v>
      </c>
      <c r="H1215" s="13">
        <v>60409</v>
      </c>
      <c r="I1215" s="13">
        <v>25927</v>
      </c>
      <c r="J1215" t="s">
        <v>26</v>
      </c>
      <c r="K1215" s="13">
        <f>HR_Data[[#This Row],[Salary]]+HR_Data[[#This Row],[Bonus]]</f>
        <v>86336</v>
      </c>
    </row>
    <row r="1216" spans="1:11" x14ac:dyDescent="0.25">
      <c r="A1216">
        <v>2215</v>
      </c>
      <c r="B1216" t="s">
        <v>1256</v>
      </c>
      <c r="C1216" t="s">
        <v>12</v>
      </c>
      <c r="D1216" t="s">
        <v>15</v>
      </c>
      <c r="E1216" t="s">
        <v>16</v>
      </c>
      <c r="F1216" t="s">
        <v>22</v>
      </c>
      <c r="G1216">
        <v>52</v>
      </c>
      <c r="H1216" s="13">
        <v>104101</v>
      </c>
      <c r="I1216" s="13">
        <v>6811</v>
      </c>
      <c r="J1216" t="s">
        <v>26</v>
      </c>
      <c r="K1216" s="13">
        <f>HR_Data[[#This Row],[Salary]]+HR_Data[[#This Row],[Bonus]]</f>
        <v>110912</v>
      </c>
    </row>
    <row r="1217" spans="1:11" x14ac:dyDescent="0.25">
      <c r="A1217">
        <v>2216</v>
      </c>
      <c r="B1217" t="s">
        <v>1257</v>
      </c>
      <c r="C1217" t="s">
        <v>11</v>
      </c>
      <c r="D1217" t="s">
        <v>14</v>
      </c>
      <c r="E1217" t="s">
        <v>20</v>
      </c>
      <c r="F1217" t="s">
        <v>24</v>
      </c>
      <c r="G1217">
        <v>47</v>
      </c>
      <c r="H1217" s="13">
        <v>29834</v>
      </c>
      <c r="I1217" s="13">
        <v>17103</v>
      </c>
      <c r="J1217" t="s">
        <v>25</v>
      </c>
      <c r="K1217" s="13">
        <f>HR_Data[[#This Row],[Salary]]+HR_Data[[#This Row],[Bonus]]</f>
        <v>46937</v>
      </c>
    </row>
    <row r="1218" spans="1:11" x14ac:dyDescent="0.25">
      <c r="A1218">
        <v>2217</v>
      </c>
      <c r="B1218" t="s">
        <v>1258</v>
      </c>
      <c r="C1218" t="s">
        <v>9</v>
      </c>
      <c r="D1218" t="s">
        <v>15</v>
      </c>
      <c r="E1218" t="s">
        <v>17</v>
      </c>
      <c r="F1218" t="s">
        <v>24</v>
      </c>
      <c r="G1218">
        <v>50</v>
      </c>
      <c r="H1218" s="13">
        <v>20840</v>
      </c>
      <c r="I1218" s="13">
        <v>14032</v>
      </c>
      <c r="J1218" t="s">
        <v>25</v>
      </c>
      <c r="K1218" s="13">
        <f>HR_Data[[#This Row],[Salary]]+HR_Data[[#This Row],[Bonus]]</f>
        <v>34872</v>
      </c>
    </row>
    <row r="1219" spans="1:11" x14ac:dyDescent="0.25">
      <c r="A1219">
        <v>2218</v>
      </c>
      <c r="B1219" t="s">
        <v>1259</v>
      </c>
      <c r="C1219" t="s">
        <v>12</v>
      </c>
      <c r="D1219" t="s">
        <v>15</v>
      </c>
      <c r="E1219" t="s">
        <v>20</v>
      </c>
      <c r="F1219" t="s">
        <v>24</v>
      </c>
      <c r="G1219">
        <v>24</v>
      </c>
      <c r="H1219" s="13">
        <v>99409</v>
      </c>
      <c r="I1219" s="13">
        <v>17877</v>
      </c>
      <c r="J1219" t="s">
        <v>25</v>
      </c>
      <c r="K1219" s="13">
        <f>HR_Data[[#This Row],[Salary]]+HR_Data[[#This Row],[Bonus]]</f>
        <v>117286</v>
      </c>
    </row>
    <row r="1220" spans="1:11" x14ac:dyDescent="0.25">
      <c r="A1220">
        <v>2219</v>
      </c>
      <c r="B1220" t="s">
        <v>1260</v>
      </c>
      <c r="C1220" t="s">
        <v>11</v>
      </c>
      <c r="D1220" t="s">
        <v>15</v>
      </c>
      <c r="E1220" t="s">
        <v>17</v>
      </c>
      <c r="F1220" t="s">
        <v>21</v>
      </c>
      <c r="G1220">
        <v>35</v>
      </c>
      <c r="H1220" s="13">
        <v>51568</v>
      </c>
      <c r="I1220" s="13">
        <v>12963</v>
      </c>
      <c r="J1220" t="s">
        <v>25</v>
      </c>
      <c r="K1220" s="13">
        <f>HR_Data[[#This Row],[Salary]]+HR_Data[[#This Row],[Bonus]]</f>
        <v>64531</v>
      </c>
    </row>
    <row r="1221" spans="1:11" x14ac:dyDescent="0.25">
      <c r="A1221">
        <v>2220</v>
      </c>
      <c r="B1221" t="s">
        <v>1261</v>
      </c>
      <c r="C1221" t="s">
        <v>2042</v>
      </c>
      <c r="D1221" t="s">
        <v>15</v>
      </c>
      <c r="E1221" t="s">
        <v>17</v>
      </c>
      <c r="F1221" t="s">
        <v>23</v>
      </c>
      <c r="G1221">
        <v>46</v>
      </c>
      <c r="H1221" s="13">
        <v>30846</v>
      </c>
      <c r="I1221" s="13">
        <v>26633</v>
      </c>
      <c r="J1221" t="s">
        <v>25</v>
      </c>
      <c r="K1221" s="13">
        <f>HR_Data[[#This Row],[Salary]]+HR_Data[[#This Row],[Bonus]]</f>
        <v>57479</v>
      </c>
    </row>
    <row r="1222" spans="1:11" x14ac:dyDescent="0.25">
      <c r="A1222">
        <v>2221</v>
      </c>
      <c r="B1222" t="s">
        <v>1262</v>
      </c>
      <c r="C1222" t="s">
        <v>2042</v>
      </c>
      <c r="D1222" t="s">
        <v>15</v>
      </c>
      <c r="E1222" t="s">
        <v>20</v>
      </c>
      <c r="F1222" t="s">
        <v>24</v>
      </c>
      <c r="G1222">
        <v>22</v>
      </c>
      <c r="H1222" s="13">
        <v>25899</v>
      </c>
      <c r="I1222" s="13">
        <v>20224</v>
      </c>
      <c r="J1222" t="s">
        <v>25</v>
      </c>
      <c r="K1222" s="13">
        <f>HR_Data[[#This Row],[Salary]]+HR_Data[[#This Row],[Bonus]]</f>
        <v>46123</v>
      </c>
    </row>
    <row r="1223" spans="1:11" x14ac:dyDescent="0.25">
      <c r="A1223">
        <v>2222</v>
      </c>
      <c r="B1223" t="s">
        <v>1263</v>
      </c>
      <c r="C1223" t="s">
        <v>10</v>
      </c>
      <c r="D1223" t="s">
        <v>15</v>
      </c>
      <c r="E1223" t="s">
        <v>18</v>
      </c>
      <c r="F1223" t="s">
        <v>23</v>
      </c>
      <c r="G1223">
        <v>24</v>
      </c>
      <c r="H1223" s="13">
        <v>106038</v>
      </c>
      <c r="I1223" s="13">
        <v>25999</v>
      </c>
      <c r="J1223" t="s">
        <v>25</v>
      </c>
      <c r="K1223" s="13">
        <f>HR_Data[[#This Row],[Salary]]+HR_Data[[#This Row],[Bonus]]</f>
        <v>132037</v>
      </c>
    </row>
    <row r="1224" spans="1:11" x14ac:dyDescent="0.25">
      <c r="A1224">
        <v>2223</v>
      </c>
      <c r="B1224" t="s">
        <v>1264</v>
      </c>
      <c r="C1224" t="s">
        <v>11</v>
      </c>
      <c r="D1224" t="s">
        <v>15</v>
      </c>
      <c r="E1224" t="s">
        <v>19</v>
      </c>
      <c r="F1224" t="s">
        <v>23</v>
      </c>
      <c r="G1224">
        <v>47</v>
      </c>
      <c r="H1224" s="13">
        <v>86101</v>
      </c>
      <c r="I1224" s="13">
        <v>13916</v>
      </c>
      <c r="J1224" t="s">
        <v>25</v>
      </c>
      <c r="K1224" s="13">
        <f>HR_Data[[#This Row],[Salary]]+HR_Data[[#This Row],[Bonus]]</f>
        <v>100017</v>
      </c>
    </row>
    <row r="1225" spans="1:11" x14ac:dyDescent="0.25">
      <c r="A1225">
        <v>2224</v>
      </c>
      <c r="B1225" t="s">
        <v>1265</v>
      </c>
      <c r="C1225" t="s">
        <v>8</v>
      </c>
      <c r="D1225" t="s">
        <v>15</v>
      </c>
      <c r="E1225" t="s">
        <v>16</v>
      </c>
      <c r="F1225" t="s">
        <v>23</v>
      </c>
      <c r="G1225">
        <v>39</v>
      </c>
      <c r="H1225" s="13">
        <v>58773</v>
      </c>
      <c r="I1225" s="13">
        <v>11766</v>
      </c>
      <c r="J1225" t="s">
        <v>25</v>
      </c>
      <c r="K1225" s="13">
        <f>HR_Data[[#This Row],[Salary]]+HR_Data[[#This Row],[Bonus]]</f>
        <v>70539</v>
      </c>
    </row>
    <row r="1226" spans="1:11" x14ac:dyDescent="0.25">
      <c r="A1226">
        <v>2225</v>
      </c>
      <c r="B1226" t="s">
        <v>1266</v>
      </c>
      <c r="C1226" t="s">
        <v>11</v>
      </c>
      <c r="D1226" t="s">
        <v>14</v>
      </c>
      <c r="E1226" t="s">
        <v>19</v>
      </c>
      <c r="F1226" t="s">
        <v>21</v>
      </c>
      <c r="G1226">
        <v>30</v>
      </c>
      <c r="H1226" s="13">
        <v>94723</v>
      </c>
      <c r="I1226" s="13">
        <v>22186</v>
      </c>
      <c r="J1226" t="s">
        <v>25</v>
      </c>
      <c r="K1226" s="13">
        <f>HR_Data[[#This Row],[Salary]]+HR_Data[[#This Row],[Bonus]]</f>
        <v>116909</v>
      </c>
    </row>
    <row r="1227" spans="1:11" x14ac:dyDescent="0.25">
      <c r="A1227">
        <v>2226</v>
      </c>
      <c r="B1227" t="s">
        <v>1267</v>
      </c>
      <c r="C1227" t="s">
        <v>12</v>
      </c>
      <c r="D1227" t="s">
        <v>14</v>
      </c>
      <c r="E1227" t="s">
        <v>16</v>
      </c>
      <c r="F1227" t="s">
        <v>21</v>
      </c>
      <c r="G1227">
        <v>59</v>
      </c>
      <c r="H1227" s="13">
        <v>92762</v>
      </c>
      <c r="I1227" s="13">
        <v>23966</v>
      </c>
      <c r="J1227" t="s">
        <v>25</v>
      </c>
      <c r="K1227" s="13">
        <f>HR_Data[[#This Row],[Salary]]+HR_Data[[#This Row],[Bonus]]</f>
        <v>116728</v>
      </c>
    </row>
    <row r="1228" spans="1:11" x14ac:dyDescent="0.25">
      <c r="A1228">
        <v>2227</v>
      </c>
      <c r="B1228" t="s">
        <v>1268</v>
      </c>
      <c r="C1228" t="s">
        <v>12</v>
      </c>
      <c r="D1228" t="s">
        <v>15</v>
      </c>
      <c r="E1228" t="s">
        <v>16</v>
      </c>
      <c r="F1228" t="s">
        <v>22</v>
      </c>
      <c r="G1228">
        <v>44</v>
      </c>
      <c r="H1228" s="13">
        <v>24311</v>
      </c>
      <c r="I1228" s="13">
        <v>27829</v>
      </c>
      <c r="J1228" t="s">
        <v>25</v>
      </c>
      <c r="K1228" s="13">
        <f>HR_Data[[#This Row],[Salary]]+HR_Data[[#This Row],[Bonus]]</f>
        <v>52140</v>
      </c>
    </row>
    <row r="1229" spans="1:11" x14ac:dyDescent="0.25">
      <c r="A1229">
        <v>2228</v>
      </c>
      <c r="B1229" t="s">
        <v>1269</v>
      </c>
      <c r="C1229" t="s">
        <v>11</v>
      </c>
      <c r="D1229" t="s">
        <v>15</v>
      </c>
      <c r="E1229" t="s">
        <v>17</v>
      </c>
      <c r="F1229" t="s">
        <v>22</v>
      </c>
      <c r="G1229">
        <v>42</v>
      </c>
      <c r="H1229" s="13">
        <v>76888</v>
      </c>
      <c r="I1229" s="13">
        <v>25221</v>
      </c>
      <c r="J1229" t="s">
        <v>25</v>
      </c>
      <c r="K1229" s="13">
        <f>HR_Data[[#This Row],[Salary]]+HR_Data[[#This Row],[Bonus]]</f>
        <v>102109</v>
      </c>
    </row>
    <row r="1230" spans="1:11" x14ac:dyDescent="0.25">
      <c r="A1230">
        <v>2229</v>
      </c>
      <c r="B1230" t="s">
        <v>1270</v>
      </c>
      <c r="C1230" t="s">
        <v>9</v>
      </c>
      <c r="D1230" t="s">
        <v>14</v>
      </c>
      <c r="E1230" t="s">
        <v>16</v>
      </c>
      <c r="F1230" t="s">
        <v>23</v>
      </c>
      <c r="G1230">
        <v>22</v>
      </c>
      <c r="H1230" s="13">
        <v>61616</v>
      </c>
      <c r="I1230" s="13">
        <v>6665</v>
      </c>
      <c r="J1230" t="s">
        <v>25</v>
      </c>
      <c r="K1230" s="13">
        <f>HR_Data[[#This Row],[Salary]]+HR_Data[[#This Row],[Bonus]]</f>
        <v>68281</v>
      </c>
    </row>
    <row r="1231" spans="1:11" x14ac:dyDescent="0.25">
      <c r="A1231">
        <v>2230</v>
      </c>
      <c r="B1231" t="s">
        <v>1271</v>
      </c>
      <c r="C1231" t="s">
        <v>2042</v>
      </c>
      <c r="D1231" t="s">
        <v>27</v>
      </c>
      <c r="E1231" t="s">
        <v>16</v>
      </c>
      <c r="F1231" t="s">
        <v>22</v>
      </c>
      <c r="G1231">
        <v>42</v>
      </c>
      <c r="H1231" s="13">
        <v>72134</v>
      </c>
      <c r="I1231" s="13">
        <v>20932</v>
      </c>
      <c r="J1231" t="s">
        <v>26</v>
      </c>
      <c r="K1231" s="13">
        <f>HR_Data[[#This Row],[Salary]]+HR_Data[[#This Row],[Bonus]]</f>
        <v>93066</v>
      </c>
    </row>
    <row r="1232" spans="1:11" x14ac:dyDescent="0.25">
      <c r="A1232">
        <v>2231</v>
      </c>
      <c r="B1232" t="s">
        <v>1272</v>
      </c>
      <c r="C1232" t="s">
        <v>12</v>
      </c>
      <c r="D1232" t="s">
        <v>14</v>
      </c>
      <c r="E1232" t="s">
        <v>20</v>
      </c>
      <c r="F1232" t="s">
        <v>23</v>
      </c>
      <c r="G1232">
        <v>48</v>
      </c>
      <c r="H1232" s="13">
        <v>111225</v>
      </c>
      <c r="I1232" s="13">
        <v>11975</v>
      </c>
      <c r="J1232" t="s">
        <v>25</v>
      </c>
      <c r="K1232" s="13">
        <f>HR_Data[[#This Row],[Salary]]+HR_Data[[#This Row],[Bonus]]</f>
        <v>123200</v>
      </c>
    </row>
    <row r="1233" spans="1:11" x14ac:dyDescent="0.25">
      <c r="A1233">
        <v>2232</v>
      </c>
      <c r="B1233" t="s">
        <v>1273</v>
      </c>
      <c r="C1233" t="s">
        <v>2042</v>
      </c>
      <c r="D1233" t="s">
        <v>15</v>
      </c>
      <c r="E1233" t="s">
        <v>19</v>
      </c>
      <c r="F1233" t="s">
        <v>21</v>
      </c>
      <c r="G1233">
        <v>27</v>
      </c>
      <c r="H1233" s="13">
        <v>26083</v>
      </c>
      <c r="I1233" s="13">
        <v>7552</v>
      </c>
      <c r="J1233" t="s">
        <v>26</v>
      </c>
      <c r="K1233" s="13">
        <f>HR_Data[[#This Row],[Salary]]+HR_Data[[#This Row],[Bonus]]</f>
        <v>33635</v>
      </c>
    </row>
    <row r="1234" spans="1:11" x14ac:dyDescent="0.25">
      <c r="A1234">
        <v>2233</v>
      </c>
      <c r="B1234" t="s">
        <v>1274</v>
      </c>
      <c r="C1234" t="s">
        <v>12</v>
      </c>
      <c r="D1234" t="s">
        <v>14</v>
      </c>
      <c r="E1234" t="s">
        <v>20</v>
      </c>
      <c r="F1234" t="s">
        <v>21</v>
      </c>
      <c r="G1234">
        <v>57</v>
      </c>
      <c r="H1234" s="13">
        <v>32598</v>
      </c>
      <c r="I1234" s="13">
        <v>28859</v>
      </c>
      <c r="J1234" t="s">
        <v>25</v>
      </c>
      <c r="K1234" s="13">
        <f>HR_Data[[#This Row],[Salary]]+HR_Data[[#This Row],[Bonus]]</f>
        <v>61457</v>
      </c>
    </row>
    <row r="1235" spans="1:11" x14ac:dyDescent="0.25">
      <c r="A1235">
        <v>2234</v>
      </c>
      <c r="B1235" t="s">
        <v>1275</v>
      </c>
      <c r="C1235" t="s">
        <v>10</v>
      </c>
      <c r="D1235" t="s">
        <v>15</v>
      </c>
      <c r="E1235" t="s">
        <v>16</v>
      </c>
      <c r="F1235" t="s">
        <v>21</v>
      </c>
      <c r="G1235">
        <v>49</v>
      </c>
      <c r="H1235" s="13">
        <v>102476</v>
      </c>
      <c r="I1235" s="13">
        <v>18219</v>
      </c>
      <c r="J1235" t="s">
        <v>25</v>
      </c>
      <c r="K1235" s="13">
        <f>HR_Data[[#This Row],[Salary]]+HR_Data[[#This Row],[Bonus]]</f>
        <v>120695</v>
      </c>
    </row>
    <row r="1236" spans="1:11" x14ac:dyDescent="0.25">
      <c r="A1236">
        <v>2235</v>
      </c>
      <c r="B1236" t="s">
        <v>1276</v>
      </c>
      <c r="C1236" t="s">
        <v>8</v>
      </c>
      <c r="D1236" t="s">
        <v>15</v>
      </c>
      <c r="E1236" t="s">
        <v>17</v>
      </c>
      <c r="F1236" t="s">
        <v>24</v>
      </c>
      <c r="G1236">
        <v>38</v>
      </c>
      <c r="H1236" s="13">
        <v>112416</v>
      </c>
      <c r="I1236" s="13">
        <v>19274</v>
      </c>
      <c r="J1236" t="s">
        <v>25</v>
      </c>
      <c r="K1236" s="13">
        <f>HR_Data[[#This Row],[Salary]]+HR_Data[[#This Row],[Bonus]]</f>
        <v>131690</v>
      </c>
    </row>
    <row r="1237" spans="1:11" x14ac:dyDescent="0.25">
      <c r="A1237">
        <v>2236</v>
      </c>
      <c r="B1237" t="s">
        <v>1277</v>
      </c>
      <c r="C1237" t="s">
        <v>12</v>
      </c>
      <c r="D1237" t="s">
        <v>14</v>
      </c>
      <c r="E1237" t="s">
        <v>20</v>
      </c>
      <c r="F1237" t="s">
        <v>23</v>
      </c>
      <c r="G1237">
        <v>24</v>
      </c>
      <c r="H1237" s="13">
        <v>22580</v>
      </c>
      <c r="I1237" s="13">
        <v>17612</v>
      </c>
      <c r="J1237" t="s">
        <v>26</v>
      </c>
      <c r="K1237" s="13">
        <f>HR_Data[[#This Row],[Salary]]+HR_Data[[#This Row],[Bonus]]</f>
        <v>40192</v>
      </c>
    </row>
    <row r="1238" spans="1:11" x14ac:dyDescent="0.25">
      <c r="A1238">
        <v>2237</v>
      </c>
      <c r="B1238" t="s">
        <v>1278</v>
      </c>
      <c r="C1238" t="s">
        <v>2042</v>
      </c>
      <c r="D1238" t="s">
        <v>15</v>
      </c>
      <c r="E1238" t="s">
        <v>20</v>
      </c>
      <c r="F1238" t="s">
        <v>21</v>
      </c>
      <c r="G1238">
        <v>33</v>
      </c>
      <c r="H1238" s="13">
        <v>77395</v>
      </c>
      <c r="I1238" s="13">
        <v>7808</v>
      </c>
      <c r="J1238" t="s">
        <v>26</v>
      </c>
      <c r="K1238" s="13">
        <f>HR_Data[[#This Row],[Salary]]+HR_Data[[#This Row],[Bonus]]</f>
        <v>85203</v>
      </c>
    </row>
    <row r="1239" spans="1:11" x14ac:dyDescent="0.25">
      <c r="A1239">
        <v>2238</v>
      </c>
      <c r="B1239" t="s">
        <v>1279</v>
      </c>
      <c r="C1239" t="s">
        <v>10</v>
      </c>
      <c r="D1239" t="s">
        <v>15</v>
      </c>
      <c r="E1239" t="s">
        <v>18</v>
      </c>
      <c r="F1239" t="s">
        <v>23</v>
      </c>
      <c r="G1239">
        <v>33</v>
      </c>
      <c r="H1239" s="13">
        <v>62321</v>
      </c>
      <c r="I1239" s="13">
        <v>16090</v>
      </c>
      <c r="J1239" t="s">
        <v>25</v>
      </c>
      <c r="K1239" s="13">
        <f>HR_Data[[#This Row],[Salary]]+HR_Data[[#This Row],[Bonus]]</f>
        <v>78411</v>
      </c>
    </row>
    <row r="1240" spans="1:11" x14ac:dyDescent="0.25">
      <c r="A1240">
        <v>2239</v>
      </c>
      <c r="B1240" t="s">
        <v>1280</v>
      </c>
      <c r="C1240" t="s">
        <v>12</v>
      </c>
      <c r="D1240" t="s">
        <v>15</v>
      </c>
      <c r="E1240" t="s">
        <v>16</v>
      </c>
      <c r="F1240" t="s">
        <v>22</v>
      </c>
      <c r="G1240">
        <v>23</v>
      </c>
      <c r="H1240" s="13">
        <v>29386</v>
      </c>
      <c r="I1240" s="13">
        <v>27017</v>
      </c>
      <c r="J1240" t="s">
        <v>25</v>
      </c>
      <c r="K1240" s="13">
        <f>HR_Data[[#This Row],[Salary]]+HR_Data[[#This Row],[Bonus]]</f>
        <v>56403</v>
      </c>
    </row>
    <row r="1241" spans="1:11" x14ac:dyDescent="0.25">
      <c r="A1241">
        <v>2240</v>
      </c>
      <c r="B1241" t="s">
        <v>1281</v>
      </c>
      <c r="C1241" t="s">
        <v>9</v>
      </c>
      <c r="D1241" t="s">
        <v>15</v>
      </c>
      <c r="E1241" t="s">
        <v>17</v>
      </c>
      <c r="F1241" t="s">
        <v>22</v>
      </c>
      <c r="G1241">
        <v>43</v>
      </c>
      <c r="H1241" s="13">
        <v>73171</v>
      </c>
      <c r="I1241" s="13">
        <v>17260</v>
      </c>
      <c r="J1241" t="s">
        <v>25</v>
      </c>
      <c r="K1241" s="13">
        <f>HR_Data[[#This Row],[Salary]]+HR_Data[[#This Row],[Bonus]]</f>
        <v>90431</v>
      </c>
    </row>
    <row r="1242" spans="1:11" x14ac:dyDescent="0.25">
      <c r="A1242">
        <v>2241</v>
      </c>
      <c r="B1242" t="s">
        <v>1282</v>
      </c>
      <c r="C1242" t="s">
        <v>8</v>
      </c>
      <c r="D1242" t="s">
        <v>14</v>
      </c>
      <c r="E1242" t="s">
        <v>20</v>
      </c>
      <c r="F1242" t="s">
        <v>21</v>
      </c>
      <c r="G1242">
        <v>44</v>
      </c>
      <c r="H1242" s="13">
        <v>39522</v>
      </c>
      <c r="I1242" s="13">
        <v>20295</v>
      </c>
      <c r="J1242" t="s">
        <v>25</v>
      </c>
      <c r="K1242" s="13">
        <f>HR_Data[[#This Row],[Salary]]+HR_Data[[#This Row],[Bonus]]</f>
        <v>59817</v>
      </c>
    </row>
    <row r="1243" spans="1:11" x14ac:dyDescent="0.25">
      <c r="A1243">
        <v>2242</v>
      </c>
      <c r="B1243" t="s">
        <v>1283</v>
      </c>
      <c r="C1243" t="s">
        <v>12</v>
      </c>
      <c r="D1243" t="s">
        <v>14</v>
      </c>
      <c r="E1243" t="s">
        <v>20</v>
      </c>
      <c r="F1243" t="s">
        <v>23</v>
      </c>
      <c r="G1243">
        <v>51</v>
      </c>
      <c r="H1243" s="13">
        <v>85532</v>
      </c>
      <c r="I1243" s="13">
        <v>19837</v>
      </c>
      <c r="J1243" t="s">
        <v>25</v>
      </c>
      <c r="K1243" s="13">
        <f>HR_Data[[#This Row],[Salary]]+HR_Data[[#This Row],[Bonus]]</f>
        <v>105369</v>
      </c>
    </row>
    <row r="1244" spans="1:11" x14ac:dyDescent="0.25">
      <c r="A1244">
        <v>2243</v>
      </c>
      <c r="B1244" t="s">
        <v>1284</v>
      </c>
      <c r="C1244" t="s">
        <v>10</v>
      </c>
      <c r="D1244" t="s">
        <v>15</v>
      </c>
      <c r="E1244" t="s">
        <v>17</v>
      </c>
      <c r="F1244" t="s">
        <v>21</v>
      </c>
      <c r="G1244">
        <v>26</v>
      </c>
      <c r="H1244" s="13">
        <v>111760</v>
      </c>
      <c r="I1244" s="13">
        <v>27480</v>
      </c>
      <c r="J1244" t="s">
        <v>25</v>
      </c>
      <c r="K1244" s="13">
        <f>HR_Data[[#This Row],[Salary]]+HR_Data[[#This Row],[Bonus]]</f>
        <v>139240</v>
      </c>
    </row>
    <row r="1245" spans="1:11" x14ac:dyDescent="0.25">
      <c r="A1245">
        <v>2244</v>
      </c>
      <c r="B1245" t="s">
        <v>1285</v>
      </c>
      <c r="C1245" t="s">
        <v>9</v>
      </c>
      <c r="D1245" t="s">
        <v>15</v>
      </c>
      <c r="E1245" t="s">
        <v>16</v>
      </c>
      <c r="F1245" t="s">
        <v>22</v>
      </c>
      <c r="G1245">
        <v>30</v>
      </c>
      <c r="H1245" s="13">
        <v>34635</v>
      </c>
      <c r="I1245" s="13">
        <v>19669</v>
      </c>
      <c r="J1245" t="s">
        <v>25</v>
      </c>
      <c r="K1245" s="13">
        <f>HR_Data[[#This Row],[Salary]]+HR_Data[[#This Row],[Bonus]]</f>
        <v>54304</v>
      </c>
    </row>
    <row r="1246" spans="1:11" x14ac:dyDescent="0.25">
      <c r="A1246">
        <v>2245</v>
      </c>
      <c r="B1246" t="s">
        <v>1286</v>
      </c>
      <c r="C1246" t="s">
        <v>11</v>
      </c>
      <c r="D1246" t="s">
        <v>14</v>
      </c>
      <c r="E1246" t="s">
        <v>18</v>
      </c>
      <c r="F1246" t="s">
        <v>21</v>
      </c>
      <c r="G1246">
        <v>42</v>
      </c>
      <c r="H1246" s="13">
        <v>20671</v>
      </c>
      <c r="I1246" s="13">
        <v>15523</v>
      </c>
      <c r="J1246" t="s">
        <v>25</v>
      </c>
      <c r="K1246" s="13">
        <f>HR_Data[[#This Row],[Salary]]+HR_Data[[#This Row],[Bonus]]</f>
        <v>36194</v>
      </c>
    </row>
    <row r="1247" spans="1:11" x14ac:dyDescent="0.25">
      <c r="A1247">
        <v>2246</v>
      </c>
      <c r="B1247" t="s">
        <v>1287</v>
      </c>
      <c r="C1247" t="s">
        <v>10</v>
      </c>
      <c r="D1247" t="s">
        <v>15</v>
      </c>
      <c r="E1247" t="s">
        <v>20</v>
      </c>
      <c r="F1247" t="s">
        <v>23</v>
      </c>
      <c r="G1247">
        <v>32</v>
      </c>
      <c r="H1247" s="13">
        <v>53545</v>
      </c>
      <c r="I1247" s="13">
        <v>17762</v>
      </c>
      <c r="J1247" t="s">
        <v>25</v>
      </c>
      <c r="K1247" s="13">
        <f>HR_Data[[#This Row],[Salary]]+HR_Data[[#This Row],[Bonus]]</f>
        <v>71307</v>
      </c>
    </row>
    <row r="1248" spans="1:11" x14ac:dyDescent="0.25">
      <c r="A1248">
        <v>2247</v>
      </c>
      <c r="B1248" t="s">
        <v>1288</v>
      </c>
      <c r="C1248" t="s">
        <v>10</v>
      </c>
      <c r="D1248" t="s">
        <v>14</v>
      </c>
      <c r="E1248" t="s">
        <v>18</v>
      </c>
      <c r="F1248" t="s">
        <v>22</v>
      </c>
      <c r="G1248">
        <v>26</v>
      </c>
      <c r="H1248" s="13">
        <v>74079</v>
      </c>
      <c r="I1248" s="13">
        <v>18769</v>
      </c>
      <c r="J1248" t="s">
        <v>25</v>
      </c>
      <c r="K1248" s="13">
        <f>HR_Data[[#This Row],[Salary]]+HR_Data[[#This Row],[Bonus]]</f>
        <v>92848</v>
      </c>
    </row>
    <row r="1249" spans="1:11" x14ac:dyDescent="0.25">
      <c r="A1249">
        <v>2248</v>
      </c>
      <c r="B1249" t="s">
        <v>1289</v>
      </c>
      <c r="C1249" t="s">
        <v>9</v>
      </c>
      <c r="D1249" t="s">
        <v>15</v>
      </c>
      <c r="E1249" t="s">
        <v>19</v>
      </c>
      <c r="F1249" t="s">
        <v>24</v>
      </c>
      <c r="G1249">
        <v>56</v>
      </c>
      <c r="H1249" s="13">
        <v>46855</v>
      </c>
      <c r="I1249" s="13">
        <v>18731</v>
      </c>
      <c r="J1249" t="s">
        <v>26</v>
      </c>
      <c r="K1249" s="13">
        <f>HR_Data[[#This Row],[Salary]]+HR_Data[[#This Row],[Bonus]]</f>
        <v>65586</v>
      </c>
    </row>
    <row r="1250" spans="1:11" x14ac:dyDescent="0.25">
      <c r="A1250">
        <v>2249</v>
      </c>
      <c r="B1250" t="s">
        <v>1290</v>
      </c>
      <c r="C1250" t="s">
        <v>10</v>
      </c>
      <c r="D1250" t="s">
        <v>15</v>
      </c>
      <c r="E1250" t="s">
        <v>16</v>
      </c>
      <c r="F1250" t="s">
        <v>22</v>
      </c>
      <c r="G1250">
        <v>48</v>
      </c>
      <c r="H1250" s="13">
        <v>55790</v>
      </c>
      <c r="I1250" s="13">
        <v>16877</v>
      </c>
      <c r="J1250" t="s">
        <v>25</v>
      </c>
      <c r="K1250" s="13">
        <f>HR_Data[[#This Row],[Salary]]+HR_Data[[#This Row],[Bonus]]</f>
        <v>72667</v>
      </c>
    </row>
    <row r="1251" spans="1:11" x14ac:dyDescent="0.25">
      <c r="A1251">
        <v>2250</v>
      </c>
      <c r="B1251" t="s">
        <v>1291</v>
      </c>
      <c r="C1251" t="s">
        <v>9</v>
      </c>
      <c r="D1251" t="s">
        <v>14</v>
      </c>
      <c r="E1251" t="s">
        <v>19</v>
      </c>
      <c r="F1251" t="s">
        <v>24</v>
      </c>
      <c r="G1251">
        <v>23</v>
      </c>
      <c r="H1251" s="13">
        <v>71012</v>
      </c>
      <c r="I1251" s="13">
        <v>7456</v>
      </c>
      <c r="J1251" t="s">
        <v>26</v>
      </c>
      <c r="K1251" s="13">
        <f>HR_Data[[#This Row],[Salary]]+HR_Data[[#This Row],[Bonus]]</f>
        <v>78468</v>
      </c>
    </row>
    <row r="1252" spans="1:11" x14ac:dyDescent="0.25">
      <c r="A1252">
        <v>2251</v>
      </c>
      <c r="B1252" t="s">
        <v>1292</v>
      </c>
      <c r="C1252" t="s">
        <v>12</v>
      </c>
      <c r="D1252" t="s">
        <v>14</v>
      </c>
      <c r="E1252" t="s">
        <v>19</v>
      </c>
      <c r="F1252" t="s">
        <v>21</v>
      </c>
      <c r="G1252">
        <v>45</v>
      </c>
      <c r="H1252" s="13">
        <v>34260</v>
      </c>
      <c r="I1252" s="13">
        <v>10423</v>
      </c>
      <c r="J1252" t="s">
        <v>25</v>
      </c>
      <c r="K1252" s="13">
        <f>HR_Data[[#This Row],[Salary]]+HR_Data[[#This Row],[Bonus]]</f>
        <v>44683</v>
      </c>
    </row>
    <row r="1253" spans="1:11" x14ac:dyDescent="0.25">
      <c r="A1253">
        <v>2252</v>
      </c>
      <c r="B1253" t="s">
        <v>1293</v>
      </c>
      <c r="C1253" t="s">
        <v>9</v>
      </c>
      <c r="D1253" t="s">
        <v>14</v>
      </c>
      <c r="E1253" t="s">
        <v>19</v>
      </c>
      <c r="F1253" t="s">
        <v>21</v>
      </c>
      <c r="G1253">
        <v>52</v>
      </c>
      <c r="H1253" s="13">
        <v>85139</v>
      </c>
      <c r="I1253" s="13">
        <v>19246</v>
      </c>
      <c r="J1253" t="s">
        <v>25</v>
      </c>
      <c r="K1253" s="13">
        <f>HR_Data[[#This Row],[Salary]]+HR_Data[[#This Row],[Bonus]]</f>
        <v>104385</v>
      </c>
    </row>
    <row r="1254" spans="1:11" x14ac:dyDescent="0.25">
      <c r="A1254">
        <v>2253</v>
      </c>
      <c r="B1254" t="s">
        <v>1294</v>
      </c>
      <c r="C1254" t="s">
        <v>9</v>
      </c>
      <c r="D1254" t="s">
        <v>14</v>
      </c>
      <c r="E1254" t="s">
        <v>16</v>
      </c>
      <c r="F1254" t="s">
        <v>23</v>
      </c>
      <c r="G1254">
        <v>54</v>
      </c>
      <c r="H1254" s="13">
        <v>21074</v>
      </c>
      <c r="I1254" s="13">
        <v>17846</v>
      </c>
      <c r="J1254" t="s">
        <v>25</v>
      </c>
      <c r="K1254" s="13">
        <f>HR_Data[[#This Row],[Salary]]+HR_Data[[#This Row],[Bonus]]</f>
        <v>38920</v>
      </c>
    </row>
    <row r="1255" spans="1:11" x14ac:dyDescent="0.25">
      <c r="A1255">
        <v>2254</v>
      </c>
      <c r="B1255" t="s">
        <v>1295</v>
      </c>
      <c r="C1255" t="s">
        <v>8</v>
      </c>
      <c r="D1255" t="s">
        <v>15</v>
      </c>
      <c r="E1255" t="s">
        <v>16</v>
      </c>
      <c r="F1255" t="s">
        <v>24</v>
      </c>
      <c r="G1255">
        <v>51</v>
      </c>
      <c r="H1255" s="13">
        <v>62676</v>
      </c>
      <c r="I1255" s="13">
        <v>9317</v>
      </c>
      <c r="J1255" t="s">
        <v>25</v>
      </c>
      <c r="K1255" s="13">
        <f>HR_Data[[#This Row],[Salary]]+HR_Data[[#This Row],[Bonus]]</f>
        <v>71993</v>
      </c>
    </row>
    <row r="1256" spans="1:11" x14ac:dyDescent="0.25">
      <c r="A1256">
        <v>2255</v>
      </c>
      <c r="B1256" t="s">
        <v>1296</v>
      </c>
      <c r="C1256" t="s">
        <v>9</v>
      </c>
      <c r="D1256" t="s">
        <v>14</v>
      </c>
      <c r="E1256" t="s">
        <v>17</v>
      </c>
      <c r="F1256" t="s">
        <v>21</v>
      </c>
      <c r="G1256">
        <v>58</v>
      </c>
      <c r="H1256" s="13">
        <v>29475</v>
      </c>
      <c r="I1256" s="13">
        <v>22940</v>
      </c>
      <c r="J1256" t="s">
        <v>26</v>
      </c>
      <c r="K1256" s="13">
        <f>HR_Data[[#This Row],[Salary]]+HR_Data[[#This Row],[Bonus]]</f>
        <v>52415</v>
      </c>
    </row>
    <row r="1257" spans="1:11" x14ac:dyDescent="0.25">
      <c r="A1257">
        <v>2256</v>
      </c>
      <c r="B1257" t="s">
        <v>1297</v>
      </c>
      <c r="C1257" t="s">
        <v>9</v>
      </c>
      <c r="D1257" t="s">
        <v>15</v>
      </c>
      <c r="E1257" t="s">
        <v>18</v>
      </c>
      <c r="F1257" t="s">
        <v>24</v>
      </c>
      <c r="G1257">
        <v>49</v>
      </c>
      <c r="H1257" s="13">
        <v>98414</v>
      </c>
      <c r="I1257" s="13">
        <v>23589</v>
      </c>
      <c r="J1257" t="s">
        <v>25</v>
      </c>
      <c r="K1257" s="13">
        <f>HR_Data[[#This Row],[Salary]]+HR_Data[[#This Row],[Bonus]]</f>
        <v>122003</v>
      </c>
    </row>
    <row r="1258" spans="1:11" x14ac:dyDescent="0.25">
      <c r="A1258">
        <v>2257</v>
      </c>
      <c r="B1258" t="s">
        <v>1298</v>
      </c>
      <c r="C1258" t="s">
        <v>11</v>
      </c>
      <c r="D1258" t="s">
        <v>14</v>
      </c>
      <c r="E1258" t="s">
        <v>18</v>
      </c>
      <c r="F1258" t="s">
        <v>21</v>
      </c>
      <c r="G1258">
        <v>52</v>
      </c>
      <c r="H1258" s="13">
        <v>35120</v>
      </c>
      <c r="I1258" s="13">
        <v>17635</v>
      </c>
      <c r="J1258" t="s">
        <v>25</v>
      </c>
      <c r="K1258" s="13">
        <f>HR_Data[[#This Row],[Salary]]+HR_Data[[#This Row],[Bonus]]</f>
        <v>52755</v>
      </c>
    </row>
    <row r="1259" spans="1:11" x14ac:dyDescent="0.25">
      <c r="A1259">
        <v>2258</v>
      </c>
      <c r="B1259" t="s">
        <v>1299</v>
      </c>
      <c r="C1259" t="s">
        <v>12</v>
      </c>
      <c r="D1259" t="s">
        <v>14</v>
      </c>
      <c r="E1259" t="s">
        <v>17</v>
      </c>
      <c r="F1259" t="s">
        <v>22</v>
      </c>
      <c r="G1259">
        <v>32</v>
      </c>
      <c r="H1259" s="13">
        <v>43147</v>
      </c>
      <c r="I1259" s="13">
        <v>18470</v>
      </c>
      <c r="J1259" t="s">
        <v>26</v>
      </c>
      <c r="K1259" s="13">
        <f>HR_Data[[#This Row],[Salary]]+HR_Data[[#This Row],[Bonus]]</f>
        <v>61617</v>
      </c>
    </row>
    <row r="1260" spans="1:11" x14ac:dyDescent="0.25">
      <c r="A1260">
        <v>2259</v>
      </c>
      <c r="B1260" t="s">
        <v>1300</v>
      </c>
      <c r="C1260" t="s">
        <v>8</v>
      </c>
      <c r="D1260" t="s">
        <v>15</v>
      </c>
      <c r="E1260" t="s">
        <v>17</v>
      </c>
      <c r="F1260" t="s">
        <v>21</v>
      </c>
      <c r="G1260">
        <v>44</v>
      </c>
      <c r="H1260" s="13">
        <v>21986</v>
      </c>
      <c r="I1260" s="13">
        <v>18176</v>
      </c>
      <c r="J1260" t="s">
        <v>25</v>
      </c>
      <c r="K1260" s="13">
        <f>HR_Data[[#This Row],[Salary]]+HR_Data[[#This Row],[Bonus]]</f>
        <v>40162</v>
      </c>
    </row>
    <row r="1261" spans="1:11" x14ac:dyDescent="0.25">
      <c r="A1261">
        <v>2260</v>
      </c>
      <c r="B1261" t="s">
        <v>1301</v>
      </c>
      <c r="C1261" t="s">
        <v>11</v>
      </c>
      <c r="D1261" t="s">
        <v>14</v>
      </c>
      <c r="E1261" t="s">
        <v>19</v>
      </c>
      <c r="F1261" t="s">
        <v>23</v>
      </c>
      <c r="G1261">
        <v>23</v>
      </c>
      <c r="H1261" s="13">
        <v>52430</v>
      </c>
      <c r="I1261" s="13">
        <v>25339</v>
      </c>
      <c r="J1261" t="s">
        <v>25</v>
      </c>
      <c r="K1261" s="13">
        <f>HR_Data[[#This Row],[Salary]]+HR_Data[[#This Row],[Bonus]]</f>
        <v>77769</v>
      </c>
    </row>
    <row r="1262" spans="1:11" x14ac:dyDescent="0.25">
      <c r="A1262">
        <v>2261</v>
      </c>
      <c r="B1262" t="s">
        <v>1302</v>
      </c>
      <c r="C1262" t="s">
        <v>2042</v>
      </c>
      <c r="D1262" t="s">
        <v>14</v>
      </c>
      <c r="E1262" t="s">
        <v>17</v>
      </c>
      <c r="F1262" t="s">
        <v>22</v>
      </c>
      <c r="G1262">
        <v>48</v>
      </c>
      <c r="H1262" s="13">
        <v>75479</v>
      </c>
      <c r="I1262" s="13">
        <v>14113</v>
      </c>
      <c r="J1262" t="s">
        <v>25</v>
      </c>
      <c r="K1262" s="13">
        <f>HR_Data[[#This Row],[Salary]]+HR_Data[[#This Row],[Bonus]]</f>
        <v>89592</v>
      </c>
    </row>
    <row r="1263" spans="1:11" x14ac:dyDescent="0.25">
      <c r="A1263">
        <v>2262</v>
      </c>
      <c r="B1263" t="s">
        <v>1303</v>
      </c>
      <c r="C1263" t="s">
        <v>12</v>
      </c>
      <c r="D1263" t="s">
        <v>14</v>
      </c>
      <c r="E1263" t="s">
        <v>20</v>
      </c>
      <c r="F1263" t="s">
        <v>23</v>
      </c>
      <c r="G1263">
        <v>56</v>
      </c>
      <c r="H1263" s="13">
        <v>102966</v>
      </c>
      <c r="I1263" s="13">
        <v>18546</v>
      </c>
      <c r="J1263" t="s">
        <v>25</v>
      </c>
      <c r="K1263" s="13">
        <f>HR_Data[[#This Row],[Salary]]+HR_Data[[#This Row],[Bonus]]</f>
        <v>121512</v>
      </c>
    </row>
    <row r="1264" spans="1:11" x14ac:dyDescent="0.25">
      <c r="A1264">
        <v>2263</v>
      </c>
      <c r="B1264" t="s">
        <v>1304</v>
      </c>
      <c r="C1264" t="s">
        <v>12</v>
      </c>
      <c r="D1264" t="s">
        <v>14</v>
      </c>
      <c r="E1264" t="s">
        <v>18</v>
      </c>
      <c r="F1264" t="s">
        <v>22</v>
      </c>
      <c r="G1264">
        <v>23</v>
      </c>
      <c r="H1264" s="13">
        <v>22176</v>
      </c>
      <c r="I1264" s="13">
        <v>11805</v>
      </c>
      <c r="J1264" t="s">
        <v>25</v>
      </c>
      <c r="K1264" s="13">
        <f>HR_Data[[#This Row],[Salary]]+HR_Data[[#This Row],[Bonus]]</f>
        <v>33981</v>
      </c>
    </row>
    <row r="1265" spans="1:11" x14ac:dyDescent="0.25">
      <c r="A1265">
        <v>2264</v>
      </c>
      <c r="B1265" t="s">
        <v>1305</v>
      </c>
      <c r="C1265" t="s">
        <v>2042</v>
      </c>
      <c r="D1265" t="s">
        <v>15</v>
      </c>
      <c r="E1265" t="s">
        <v>17</v>
      </c>
      <c r="F1265" t="s">
        <v>24</v>
      </c>
      <c r="G1265">
        <v>58</v>
      </c>
      <c r="H1265" s="13">
        <v>104258</v>
      </c>
      <c r="I1265" s="13">
        <v>21788</v>
      </c>
      <c r="J1265" t="s">
        <v>25</v>
      </c>
      <c r="K1265" s="13">
        <f>HR_Data[[#This Row],[Salary]]+HR_Data[[#This Row],[Bonus]]</f>
        <v>126046</v>
      </c>
    </row>
    <row r="1266" spans="1:11" x14ac:dyDescent="0.25">
      <c r="A1266">
        <v>2265</v>
      </c>
      <c r="B1266" t="s">
        <v>1306</v>
      </c>
      <c r="C1266" t="s">
        <v>9</v>
      </c>
      <c r="D1266" t="s">
        <v>15</v>
      </c>
      <c r="E1266" t="s">
        <v>20</v>
      </c>
      <c r="F1266" t="s">
        <v>23</v>
      </c>
      <c r="G1266">
        <v>42</v>
      </c>
      <c r="H1266" s="13">
        <v>104153</v>
      </c>
      <c r="I1266" s="13">
        <v>23004</v>
      </c>
      <c r="J1266" t="s">
        <v>25</v>
      </c>
      <c r="K1266" s="13">
        <f>HR_Data[[#This Row],[Salary]]+HR_Data[[#This Row],[Bonus]]</f>
        <v>127157</v>
      </c>
    </row>
    <row r="1267" spans="1:11" x14ac:dyDescent="0.25">
      <c r="A1267">
        <v>2266</v>
      </c>
      <c r="B1267" t="s">
        <v>1307</v>
      </c>
      <c r="C1267" t="s">
        <v>11</v>
      </c>
      <c r="D1267" t="s">
        <v>14</v>
      </c>
      <c r="E1267" t="s">
        <v>20</v>
      </c>
      <c r="F1267" t="s">
        <v>21</v>
      </c>
      <c r="G1267">
        <v>26</v>
      </c>
      <c r="H1267" s="13">
        <v>81918</v>
      </c>
      <c r="I1267" s="13">
        <v>24336</v>
      </c>
      <c r="J1267" t="s">
        <v>25</v>
      </c>
      <c r="K1267" s="13">
        <f>HR_Data[[#This Row],[Salary]]+HR_Data[[#This Row],[Bonus]]</f>
        <v>106254</v>
      </c>
    </row>
    <row r="1268" spans="1:11" x14ac:dyDescent="0.25">
      <c r="A1268">
        <v>2267</v>
      </c>
      <c r="B1268" t="s">
        <v>1308</v>
      </c>
      <c r="C1268" t="s">
        <v>10</v>
      </c>
      <c r="D1268" t="s">
        <v>14</v>
      </c>
      <c r="E1268" t="s">
        <v>20</v>
      </c>
      <c r="F1268" t="s">
        <v>24</v>
      </c>
      <c r="G1268">
        <v>42</v>
      </c>
      <c r="H1268" s="13">
        <v>47115</v>
      </c>
      <c r="I1268" s="13">
        <v>13080</v>
      </c>
      <c r="J1268" t="s">
        <v>25</v>
      </c>
      <c r="K1268" s="13">
        <f>HR_Data[[#This Row],[Salary]]+HR_Data[[#This Row],[Bonus]]</f>
        <v>60195</v>
      </c>
    </row>
    <row r="1269" spans="1:11" x14ac:dyDescent="0.25">
      <c r="A1269">
        <v>2268</v>
      </c>
      <c r="B1269" t="s">
        <v>1309</v>
      </c>
      <c r="C1269" t="s">
        <v>8</v>
      </c>
      <c r="D1269" t="s">
        <v>14</v>
      </c>
      <c r="E1269" t="s">
        <v>20</v>
      </c>
      <c r="F1269" t="s">
        <v>21</v>
      </c>
      <c r="G1269">
        <v>50</v>
      </c>
      <c r="H1269" s="13">
        <v>97442</v>
      </c>
      <c r="I1269" s="13">
        <v>8118</v>
      </c>
      <c r="J1269" t="s">
        <v>25</v>
      </c>
      <c r="K1269" s="13">
        <f>HR_Data[[#This Row],[Salary]]+HR_Data[[#This Row],[Bonus]]</f>
        <v>105560</v>
      </c>
    </row>
    <row r="1270" spans="1:11" x14ac:dyDescent="0.25">
      <c r="A1270">
        <v>2269</v>
      </c>
      <c r="B1270" t="s">
        <v>1310</v>
      </c>
      <c r="C1270" t="s">
        <v>10</v>
      </c>
      <c r="D1270" t="s">
        <v>15</v>
      </c>
      <c r="E1270" t="s">
        <v>19</v>
      </c>
      <c r="F1270" t="s">
        <v>22</v>
      </c>
      <c r="G1270">
        <v>41</v>
      </c>
      <c r="H1270" s="13">
        <v>60002</v>
      </c>
      <c r="I1270" s="13">
        <v>28764</v>
      </c>
      <c r="J1270" t="s">
        <v>26</v>
      </c>
      <c r="K1270" s="13">
        <f>HR_Data[[#This Row],[Salary]]+HR_Data[[#This Row],[Bonus]]</f>
        <v>88766</v>
      </c>
    </row>
    <row r="1271" spans="1:11" x14ac:dyDescent="0.25">
      <c r="A1271">
        <v>2270</v>
      </c>
      <c r="B1271" t="s">
        <v>1311</v>
      </c>
      <c r="C1271" t="s">
        <v>2042</v>
      </c>
      <c r="D1271" t="s">
        <v>15</v>
      </c>
      <c r="E1271" t="s">
        <v>20</v>
      </c>
      <c r="F1271" t="s">
        <v>22</v>
      </c>
      <c r="G1271">
        <v>59</v>
      </c>
      <c r="H1271" s="13">
        <v>77124</v>
      </c>
      <c r="I1271" s="13">
        <v>11630</v>
      </c>
      <c r="J1271" t="s">
        <v>26</v>
      </c>
      <c r="K1271" s="13">
        <f>HR_Data[[#This Row],[Salary]]+HR_Data[[#This Row],[Bonus]]</f>
        <v>88754</v>
      </c>
    </row>
    <row r="1272" spans="1:11" x14ac:dyDescent="0.25">
      <c r="A1272">
        <v>2271</v>
      </c>
      <c r="B1272" t="s">
        <v>1312</v>
      </c>
      <c r="C1272" t="s">
        <v>12</v>
      </c>
      <c r="D1272" t="s">
        <v>15</v>
      </c>
      <c r="E1272" t="s">
        <v>19</v>
      </c>
      <c r="F1272" t="s">
        <v>21</v>
      </c>
      <c r="G1272">
        <v>41</v>
      </c>
      <c r="H1272" s="13">
        <v>26610</v>
      </c>
      <c r="I1272" s="13">
        <v>5565</v>
      </c>
      <c r="J1272" t="s">
        <v>25</v>
      </c>
      <c r="K1272" s="13">
        <f>HR_Data[[#This Row],[Salary]]+HR_Data[[#This Row],[Bonus]]</f>
        <v>32175</v>
      </c>
    </row>
    <row r="1273" spans="1:11" x14ac:dyDescent="0.25">
      <c r="A1273">
        <v>2272</v>
      </c>
      <c r="B1273" t="s">
        <v>1313</v>
      </c>
      <c r="C1273" t="s">
        <v>12</v>
      </c>
      <c r="D1273" t="s">
        <v>15</v>
      </c>
      <c r="E1273" t="s">
        <v>19</v>
      </c>
      <c r="F1273" t="s">
        <v>21</v>
      </c>
      <c r="G1273">
        <v>46</v>
      </c>
      <c r="H1273" s="13">
        <v>69752</v>
      </c>
      <c r="I1273" s="13">
        <v>20701</v>
      </c>
      <c r="J1273" t="s">
        <v>25</v>
      </c>
      <c r="K1273" s="13">
        <f>HR_Data[[#This Row],[Salary]]+HR_Data[[#This Row],[Bonus]]</f>
        <v>90453</v>
      </c>
    </row>
    <row r="1274" spans="1:11" x14ac:dyDescent="0.25">
      <c r="A1274">
        <v>2273</v>
      </c>
      <c r="B1274" t="s">
        <v>1314</v>
      </c>
      <c r="C1274" t="s">
        <v>8</v>
      </c>
      <c r="D1274" t="s">
        <v>27</v>
      </c>
      <c r="E1274" t="s">
        <v>20</v>
      </c>
      <c r="F1274" t="s">
        <v>24</v>
      </c>
      <c r="G1274">
        <v>23</v>
      </c>
      <c r="H1274" s="13">
        <v>98947</v>
      </c>
      <c r="I1274" s="13">
        <v>19859</v>
      </c>
      <c r="J1274" t="s">
        <v>25</v>
      </c>
      <c r="K1274" s="13">
        <f>HR_Data[[#This Row],[Salary]]+HR_Data[[#This Row],[Bonus]]</f>
        <v>118806</v>
      </c>
    </row>
    <row r="1275" spans="1:11" x14ac:dyDescent="0.25">
      <c r="A1275">
        <v>2274</v>
      </c>
      <c r="B1275" t="s">
        <v>1315</v>
      </c>
      <c r="C1275" t="s">
        <v>12</v>
      </c>
      <c r="D1275" t="s">
        <v>14</v>
      </c>
      <c r="E1275" t="s">
        <v>18</v>
      </c>
      <c r="F1275" t="s">
        <v>21</v>
      </c>
      <c r="G1275">
        <v>53</v>
      </c>
      <c r="H1275" s="13">
        <v>94716</v>
      </c>
      <c r="I1275" s="13">
        <v>26183</v>
      </c>
      <c r="J1275" t="s">
        <v>25</v>
      </c>
      <c r="K1275" s="13">
        <f>HR_Data[[#This Row],[Salary]]+HR_Data[[#This Row],[Bonus]]</f>
        <v>120899</v>
      </c>
    </row>
    <row r="1276" spans="1:11" x14ac:dyDescent="0.25">
      <c r="A1276">
        <v>2275</v>
      </c>
      <c r="B1276" t="s">
        <v>1316</v>
      </c>
      <c r="C1276" t="s">
        <v>12</v>
      </c>
      <c r="D1276" t="s">
        <v>14</v>
      </c>
      <c r="E1276" t="s">
        <v>20</v>
      </c>
      <c r="F1276" t="s">
        <v>23</v>
      </c>
      <c r="G1276">
        <v>47</v>
      </c>
      <c r="H1276" s="13">
        <v>67993</v>
      </c>
      <c r="I1276" s="13">
        <v>12670</v>
      </c>
      <c r="J1276" t="s">
        <v>25</v>
      </c>
      <c r="K1276" s="13">
        <f>HR_Data[[#This Row],[Salary]]+HR_Data[[#This Row],[Bonus]]</f>
        <v>80663</v>
      </c>
    </row>
    <row r="1277" spans="1:11" x14ac:dyDescent="0.25">
      <c r="A1277">
        <v>2276</v>
      </c>
      <c r="B1277" t="s">
        <v>1317</v>
      </c>
      <c r="C1277" t="s">
        <v>8</v>
      </c>
      <c r="D1277" t="s">
        <v>15</v>
      </c>
      <c r="E1277" t="s">
        <v>20</v>
      </c>
      <c r="F1277" t="s">
        <v>23</v>
      </c>
      <c r="G1277">
        <v>27</v>
      </c>
      <c r="H1277" s="13">
        <v>30073</v>
      </c>
      <c r="I1277" s="13">
        <v>24252</v>
      </c>
      <c r="J1277" t="s">
        <v>27</v>
      </c>
      <c r="K1277" s="13">
        <f>HR_Data[[#This Row],[Salary]]+HR_Data[[#This Row],[Bonus]]</f>
        <v>54325</v>
      </c>
    </row>
    <row r="1278" spans="1:11" x14ac:dyDescent="0.25">
      <c r="A1278">
        <v>2277</v>
      </c>
      <c r="B1278" t="s">
        <v>1318</v>
      </c>
      <c r="C1278" t="s">
        <v>11</v>
      </c>
      <c r="D1278" t="s">
        <v>14</v>
      </c>
      <c r="E1278" t="s">
        <v>20</v>
      </c>
      <c r="F1278" t="s">
        <v>21</v>
      </c>
      <c r="G1278">
        <v>24</v>
      </c>
      <c r="H1278" s="13">
        <v>57251</v>
      </c>
      <c r="I1278" s="13">
        <v>14476</v>
      </c>
      <c r="J1278" t="s">
        <v>25</v>
      </c>
      <c r="K1278" s="13">
        <f>HR_Data[[#This Row],[Salary]]+HR_Data[[#This Row],[Bonus]]</f>
        <v>71727</v>
      </c>
    </row>
    <row r="1279" spans="1:11" x14ac:dyDescent="0.25">
      <c r="A1279">
        <v>2278</v>
      </c>
      <c r="B1279" t="s">
        <v>1319</v>
      </c>
      <c r="C1279" t="s">
        <v>11</v>
      </c>
      <c r="D1279" t="s">
        <v>15</v>
      </c>
      <c r="E1279" t="s">
        <v>18</v>
      </c>
      <c r="F1279" t="s">
        <v>23</v>
      </c>
      <c r="G1279">
        <v>54</v>
      </c>
      <c r="H1279" s="13">
        <v>116496</v>
      </c>
      <c r="I1279" s="13">
        <v>13776</v>
      </c>
      <c r="J1279" t="s">
        <v>25</v>
      </c>
      <c r="K1279" s="13">
        <f>HR_Data[[#This Row],[Salary]]+HR_Data[[#This Row],[Bonus]]</f>
        <v>130272</v>
      </c>
    </row>
    <row r="1280" spans="1:11" x14ac:dyDescent="0.25">
      <c r="A1280">
        <v>2279</v>
      </c>
      <c r="B1280" t="s">
        <v>1320</v>
      </c>
      <c r="C1280" t="s">
        <v>8</v>
      </c>
      <c r="D1280" t="s">
        <v>15</v>
      </c>
      <c r="E1280" t="s">
        <v>16</v>
      </c>
      <c r="F1280" t="s">
        <v>21</v>
      </c>
      <c r="G1280">
        <v>22</v>
      </c>
      <c r="H1280" s="13">
        <v>91437</v>
      </c>
      <c r="I1280" s="13">
        <v>20021</v>
      </c>
      <c r="J1280" t="s">
        <v>25</v>
      </c>
      <c r="K1280" s="13">
        <f>HR_Data[[#This Row],[Salary]]+HR_Data[[#This Row],[Bonus]]</f>
        <v>111458</v>
      </c>
    </row>
    <row r="1281" spans="1:11" x14ac:dyDescent="0.25">
      <c r="A1281">
        <v>2280</v>
      </c>
      <c r="B1281" t="s">
        <v>1321</v>
      </c>
      <c r="C1281" t="s">
        <v>2042</v>
      </c>
      <c r="D1281" t="s">
        <v>14</v>
      </c>
      <c r="E1281" t="s">
        <v>16</v>
      </c>
      <c r="F1281" t="s">
        <v>24</v>
      </c>
      <c r="G1281">
        <v>26</v>
      </c>
      <c r="H1281" s="13">
        <v>58897</v>
      </c>
      <c r="I1281" s="13">
        <v>9327</v>
      </c>
      <c r="J1281" t="s">
        <v>25</v>
      </c>
      <c r="K1281" s="13">
        <f>HR_Data[[#This Row],[Salary]]+HR_Data[[#This Row],[Bonus]]</f>
        <v>68224</v>
      </c>
    </row>
    <row r="1282" spans="1:11" x14ac:dyDescent="0.25">
      <c r="A1282">
        <v>2281</v>
      </c>
      <c r="B1282" t="s">
        <v>1322</v>
      </c>
      <c r="C1282" t="s">
        <v>12</v>
      </c>
      <c r="D1282" t="s">
        <v>14</v>
      </c>
      <c r="E1282" t="s">
        <v>19</v>
      </c>
      <c r="F1282" t="s">
        <v>23</v>
      </c>
      <c r="G1282">
        <v>34</v>
      </c>
      <c r="H1282" s="13">
        <v>70906</v>
      </c>
      <c r="I1282" s="13">
        <v>27797</v>
      </c>
      <c r="J1282" t="s">
        <v>25</v>
      </c>
      <c r="K1282" s="13">
        <f>HR_Data[[#This Row],[Salary]]+HR_Data[[#This Row],[Bonus]]</f>
        <v>98703</v>
      </c>
    </row>
    <row r="1283" spans="1:11" x14ac:dyDescent="0.25">
      <c r="A1283">
        <v>2282</v>
      </c>
      <c r="B1283" t="s">
        <v>1323</v>
      </c>
      <c r="C1283" t="s">
        <v>12</v>
      </c>
      <c r="D1283" t="s">
        <v>14</v>
      </c>
      <c r="E1283" t="s">
        <v>19</v>
      </c>
      <c r="F1283" t="s">
        <v>23</v>
      </c>
      <c r="G1283">
        <v>40</v>
      </c>
      <c r="H1283" s="13">
        <v>71616</v>
      </c>
      <c r="I1283" s="13">
        <v>20275</v>
      </c>
      <c r="J1283" t="s">
        <v>25</v>
      </c>
      <c r="K1283" s="13">
        <f>HR_Data[[#This Row],[Salary]]+HR_Data[[#This Row],[Bonus]]</f>
        <v>91891</v>
      </c>
    </row>
    <row r="1284" spans="1:11" x14ac:dyDescent="0.25">
      <c r="A1284">
        <v>2283</v>
      </c>
      <c r="B1284" t="s">
        <v>1324</v>
      </c>
      <c r="C1284" t="s">
        <v>2042</v>
      </c>
      <c r="D1284" t="s">
        <v>27</v>
      </c>
      <c r="E1284" t="s">
        <v>18</v>
      </c>
      <c r="F1284" t="s">
        <v>21</v>
      </c>
      <c r="G1284">
        <v>33</v>
      </c>
      <c r="H1284" s="13">
        <v>24482</v>
      </c>
      <c r="I1284" s="13">
        <v>12614</v>
      </c>
      <c r="J1284" t="s">
        <v>26</v>
      </c>
      <c r="K1284" s="13">
        <f>HR_Data[[#This Row],[Salary]]+HR_Data[[#This Row],[Bonus]]</f>
        <v>37096</v>
      </c>
    </row>
    <row r="1285" spans="1:11" x14ac:dyDescent="0.25">
      <c r="A1285">
        <v>2284</v>
      </c>
      <c r="B1285" t="s">
        <v>1325</v>
      </c>
      <c r="C1285" t="s">
        <v>11</v>
      </c>
      <c r="D1285" t="s">
        <v>15</v>
      </c>
      <c r="E1285" t="s">
        <v>17</v>
      </c>
      <c r="F1285" t="s">
        <v>23</v>
      </c>
      <c r="G1285">
        <v>46</v>
      </c>
      <c r="H1285" s="13">
        <v>110964</v>
      </c>
      <c r="I1285" s="13">
        <v>6245</v>
      </c>
      <c r="J1285" t="s">
        <v>25</v>
      </c>
      <c r="K1285" s="13">
        <f>HR_Data[[#This Row],[Salary]]+HR_Data[[#This Row],[Bonus]]</f>
        <v>117209</v>
      </c>
    </row>
    <row r="1286" spans="1:11" x14ac:dyDescent="0.25">
      <c r="A1286">
        <v>2285</v>
      </c>
      <c r="B1286" t="s">
        <v>1326</v>
      </c>
      <c r="C1286" t="s">
        <v>9</v>
      </c>
      <c r="D1286" t="s">
        <v>14</v>
      </c>
      <c r="E1286" t="s">
        <v>16</v>
      </c>
      <c r="F1286" t="s">
        <v>22</v>
      </c>
      <c r="G1286">
        <v>56</v>
      </c>
      <c r="H1286" s="13">
        <v>92936</v>
      </c>
      <c r="I1286" s="13">
        <v>13243</v>
      </c>
      <c r="J1286" t="s">
        <v>25</v>
      </c>
      <c r="K1286" s="13">
        <f>HR_Data[[#This Row],[Salary]]+HR_Data[[#This Row],[Bonus]]</f>
        <v>106179</v>
      </c>
    </row>
    <row r="1287" spans="1:11" x14ac:dyDescent="0.25">
      <c r="A1287">
        <v>2286</v>
      </c>
      <c r="B1287" t="s">
        <v>1327</v>
      </c>
      <c r="C1287" t="s">
        <v>9</v>
      </c>
      <c r="D1287" t="s">
        <v>14</v>
      </c>
      <c r="E1287" t="s">
        <v>19</v>
      </c>
      <c r="F1287" t="s">
        <v>24</v>
      </c>
      <c r="G1287">
        <v>33</v>
      </c>
      <c r="H1287" s="13">
        <v>59574</v>
      </c>
      <c r="I1287" s="13">
        <v>15355</v>
      </c>
      <c r="J1287" t="s">
        <v>25</v>
      </c>
      <c r="K1287" s="13">
        <f>HR_Data[[#This Row],[Salary]]+HR_Data[[#This Row],[Bonus]]</f>
        <v>74929</v>
      </c>
    </row>
    <row r="1288" spans="1:11" x14ac:dyDescent="0.25">
      <c r="A1288">
        <v>2287</v>
      </c>
      <c r="B1288" t="s">
        <v>1328</v>
      </c>
      <c r="C1288" t="s">
        <v>9</v>
      </c>
      <c r="D1288" t="s">
        <v>15</v>
      </c>
      <c r="E1288" t="s">
        <v>16</v>
      </c>
      <c r="F1288" t="s">
        <v>24</v>
      </c>
      <c r="G1288">
        <v>51</v>
      </c>
      <c r="H1288" s="13">
        <v>63284</v>
      </c>
      <c r="I1288" s="13">
        <v>5537</v>
      </c>
      <c r="J1288" t="s">
        <v>25</v>
      </c>
      <c r="K1288" s="13">
        <f>HR_Data[[#This Row],[Salary]]+HR_Data[[#This Row],[Bonus]]</f>
        <v>68821</v>
      </c>
    </row>
    <row r="1289" spans="1:11" x14ac:dyDescent="0.25">
      <c r="A1289">
        <v>2288</v>
      </c>
      <c r="B1289" t="s">
        <v>1329</v>
      </c>
      <c r="C1289" t="s">
        <v>11</v>
      </c>
      <c r="D1289" t="s">
        <v>14</v>
      </c>
      <c r="E1289" t="s">
        <v>18</v>
      </c>
      <c r="F1289" t="s">
        <v>23</v>
      </c>
      <c r="G1289">
        <v>26</v>
      </c>
      <c r="H1289" s="13">
        <v>92932</v>
      </c>
      <c r="I1289" s="13">
        <v>20924</v>
      </c>
      <c r="J1289" t="s">
        <v>26</v>
      </c>
      <c r="K1289" s="13">
        <f>HR_Data[[#This Row],[Salary]]+HR_Data[[#This Row],[Bonus]]</f>
        <v>113856</v>
      </c>
    </row>
    <row r="1290" spans="1:11" x14ac:dyDescent="0.25">
      <c r="A1290">
        <v>2289</v>
      </c>
      <c r="B1290" t="s">
        <v>1330</v>
      </c>
      <c r="C1290" t="s">
        <v>11</v>
      </c>
      <c r="D1290" t="s">
        <v>15</v>
      </c>
      <c r="E1290" t="s">
        <v>18</v>
      </c>
      <c r="F1290" t="s">
        <v>23</v>
      </c>
      <c r="G1290">
        <v>55</v>
      </c>
      <c r="H1290" s="13">
        <v>27338</v>
      </c>
      <c r="I1290" s="13">
        <v>21236</v>
      </c>
      <c r="J1290" t="s">
        <v>26</v>
      </c>
      <c r="K1290" s="13">
        <f>HR_Data[[#This Row],[Salary]]+HR_Data[[#This Row],[Bonus]]</f>
        <v>48574</v>
      </c>
    </row>
    <row r="1291" spans="1:11" x14ac:dyDescent="0.25">
      <c r="A1291">
        <v>2290</v>
      </c>
      <c r="B1291" t="s">
        <v>1331</v>
      </c>
      <c r="C1291" t="s">
        <v>2042</v>
      </c>
      <c r="D1291" t="s">
        <v>15</v>
      </c>
      <c r="E1291" t="s">
        <v>17</v>
      </c>
      <c r="F1291" t="s">
        <v>22</v>
      </c>
      <c r="G1291">
        <v>43</v>
      </c>
      <c r="H1291" s="13">
        <v>62718</v>
      </c>
      <c r="I1291" s="13">
        <v>21924</v>
      </c>
      <c r="J1291" t="s">
        <v>25</v>
      </c>
      <c r="K1291" s="13">
        <f>HR_Data[[#This Row],[Salary]]+HR_Data[[#This Row],[Bonus]]</f>
        <v>84642</v>
      </c>
    </row>
    <row r="1292" spans="1:11" x14ac:dyDescent="0.25">
      <c r="A1292">
        <v>2291</v>
      </c>
      <c r="B1292" t="s">
        <v>1332</v>
      </c>
      <c r="C1292" t="s">
        <v>12</v>
      </c>
      <c r="D1292" t="s">
        <v>14</v>
      </c>
      <c r="E1292" t="s">
        <v>17</v>
      </c>
      <c r="F1292" t="s">
        <v>22</v>
      </c>
      <c r="G1292">
        <v>34</v>
      </c>
      <c r="H1292" s="13">
        <v>32500</v>
      </c>
      <c r="I1292" s="13">
        <v>22198</v>
      </c>
      <c r="J1292" t="s">
        <v>25</v>
      </c>
      <c r="K1292" s="13">
        <f>HR_Data[[#This Row],[Salary]]+HR_Data[[#This Row],[Bonus]]</f>
        <v>54698</v>
      </c>
    </row>
    <row r="1293" spans="1:11" x14ac:dyDescent="0.25">
      <c r="A1293">
        <v>2292</v>
      </c>
      <c r="B1293" t="s">
        <v>1333</v>
      </c>
      <c r="C1293" t="s">
        <v>2042</v>
      </c>
      <c r="D1293" t="s">
        <v>14</v>
      </c>
      <c r="E1293" t="s">
        <v>18</v>
      </c>
      <c r="F1293" t="s">
        <v>23</v>
      </c>
      <c r="G1293">
        <v>24</v>
      </c>
      <c r="H1293" s="13">
        <v>31545</v>
      </c>
      <c r="I1293" s="13">
        <v>6415</v>
      </c>
      <c r="J1293" t="s">
        <v>25</v>
      </c>
      <c r="K1293" s="13">
        <f>HR_Data[[#This Row],[Salary]]+HR_Data[[#This Row],[Bonus]]</f>
        <v>37960</v>
      </c>
    </row>
    <row r="1294" spans="1:11" x14ac:dyDescent="0.25">
      <c r="A1294">
        <v>2293</v>
      </c>
      <c r="B1294" t="s">
        <v>1334</v>
      </c>
      <c r="C1294" t="s">
        <v>2042</v>
      </c>
      <c r="D1294" t="s">
        <v>14</v>
      </c>
      <c r="E1294" t="s">
        <v>19</v>
      </c>
      <c r="F1294" t="s">
        <v>23</v>
      </c>
      <c r="G1294">
        <v>41</v>
      </c>
      <c r="H1294" s="13">
        <v>81480</v>
      </c>
      <c r="I1294" s="13">
        <v>16030</v>
      </c>
      <c r="J1294" t="s">
        <v>25</v>
      </c>
      <c r="K1294" s="13">
        <f>HR_Data[[#This Row],[Salary]]+HR_Data[[#This Row],[Bonus]]</f>
        <v>97510</v>
      </c>
    </row>
    <row r="1295" spans="1:11" x14ac:dyDescent="0.25">
      <c r="A1295">
        <v>2294</v>
      </c>
      <c r="B1295" t="s">
        <v>1335</v>
      </c>
      <c r="C1295" t="s">
        <v>11</v>
      </c>
      <c r="D1295" t="s">
        <v>14</v>
      </c>
      <c r="E1295" t="s">
        <v>16</v>
      </c>
      <c r="F1295" t="s">
        <v>22</v>
      </c>
      <c r="G1295">
        <v>52</v>
      </c>
      <c r="H1295" s="13">
        <v>25241</v>
      </c>
      <c r="I1295" s="13">
        <v>6652</v>
      </c>
      <c r="J1295" t="s">
        <v>25</v>
      </c>
      <c r="K1295" s="13">
        <f>HR_Data[[#This Row],[Salary]]+HR_Data[[#This Row],[Bonus]]</f>
        <v>31893</v>
      </c>
    </row>
    <row r="1296" spans="1:11" x14ac:dyDescent="0.25">
      <c r="A1296">
        <v>2295</v>
      </c>
      <c r="B1296" t="s">
        <v>1336</v>
      </c>
      <c r="C1296" t="s">
        <v>9</v>
      </c>
      <c r="D1296" t="s">
        <v>15</v>
      </c>
      <c r="E1296" t="s">
        <v>20</v>
      </c>
      <c r="F1296" t="s">
        <v>21</v>
      </c>
      <c r="G1296">
        <v>26</v>
      </c>
      <c r="H1296" s="13">
        <v>109314</v>
      </c>
      <c r="I1296" s="13">
        <v>15857</v>
      </c>
      <c r="J1296" t="s">
        <v>25</v>
      </c>
      <c r="K1296" s="13">
        <f>HR_Data[[#This Row],[Salary]]+HR_Data[[#This Row],[Bonus]]</f>
        <v>125171</v>
      </c>
    </row>
    <row r="1297" spans="1:11" x14ac:dyDescent="0.25">
      <c r="A1297">
        <v>2296</v>
      </c>
      <c r="B1297" t="s">
        <v>1337</v>
      </c>
      <c r="C1297" t="s">
        <v>10</v>
      </c>
      <c r="D1297" t="s">
        <v>15</v>
      </c>
      <c r="E1297" t="s">
        <v>17</v>
      </c>
      <c r="F1297" t="s">
        <v>22</v>
      </c>
      <c r="G1297">
        <v>45</v>
      </c>
      <c r="H1297" s="13">
        <v>42821</v>
      </c>
      <c r="I1297" s="13">
        <v>25446</v>
      </c>
      <c r="J1297" t="s">
        <v>25</v>
      </c>
      <c r="K1297" s="13">
        <f>HR_Data[[#This Row],[Salary]]+HR_Data[[#This Row],[Bonus]]</f>
        <v>68267</v>
      </c>
    </row>
    <row r="1298" spans="1:11" x14ac:dyDescent="0.25">
      <c r="A1298">
        <v>2297</v>
      </c>
      <c r="B1298" t="s">
        <v>1338</v>
      </c>
      <c r="C1298" t="s">
        <v>12</v>
      </c>
      <c r="D1298" t="s">
        <v>15</v>
      </c>
      <c r="E1298" t="s">
        <v>20</v>
      </c>
      <c r="F1298" t="s">
        <v>21</v>
      </c>
      <c r="G1298">
        <v>54</v>
      </c>
      <c r="H1298" s="13">
        <v>24695</v>
      </c>
      <c r="I1298" s="13">
        <v>23740</v>
      </c>
      <c r="J1298" t="s">
        <v>25</v>
      </c>
      <c r="K1298" s="13">
        <f>HR_Data[[#This Row],[Salary]]+HR_Data[[#This Row],[Bonus]]</f>
        <v>48435</v>
      </c>
    </row>
    <row r="1299" spans="1:11" x14ac:dyDescent="0.25">
      <c r="A1299">
        <v>2298</v>
      </c>
      <c r="B1299" t="s">
        <v>1339</v>
      </c>
      <c r="C1299" t="s">
        <v>11</v>
      </c>
      <c r="D1299" t="s">
        <v>14</v>
      </c>
      <c r="E1299" t="s">
        <v>19</v>
      </c>
      <c r="F1299" t="s">
        <v>24</v>
      </c>
      <c r="G1299">
        <v>29</v>
      </c>
      <c r="H1299" s="13">
        <v>97066</v>
      </c>
      <c r="I1299" s="13">
        <v>8810</v>
      </c>
      <c r="J1299" t="s">
        <v>25</v>
      </c>
      <c r="K1299" s="13">
        <f>HR_Data[[#This Row],[Salary]]+HR_Data[[#This Row],[Bonus]]</f>
        <v>105876</v>
      </c>
    </row>
    <row r="1300" spans="1:11" x14ac:dyDescent="0.25">
      <c r="A1300">
        <v>2299</v>
      </c>
      <c r="B1300" t="s">
        <v>1340</v>
      </c>
      <c r="C1300" t="s">
        <v>9</v>
      </c>
      <c r="D1300" t="s">
        <v>15</v>
      </c>
      <c r="E1300" t="s">
        <v>17</v>
      </c>
      <c r="F1300" t="s">
        <v>24</v>
      </c>
      <c r="G1300">
        <v>45</v>
      </c>
      <c r="H1300" s="13">
        <v>34318</v>
      </c>
      <c r="I1300" s="13">
        <v>21569</v>
      </c>
      <c r="J1300" t="s">
        <v>26</v>
      </c>
      <c r="K1300" s="13">
        <f>HR_Data[[#This Row],[Salary]]+HR_Data[[#This Row],[Bonus]]</f>
        <v>55887</v>
      </c>
    </row>
    <row r="1301" spans="1:11" x14ac:dyDescent="0.25">
      <c r="A1301">
        <v>2300</v>
      </c>
      <c r="B1301" t="s">
        <v>1341</v>
      </c>
      <c r="C1301" t="s">
        <v>10</v>
      </c>
      <c r="D1301" t="s">
        <v>14</v>
      </c>
      <c r="E1301" t="s">
        <v>20</v>
      </c>
      <c r="F1301" t="s">
        <v>22</v>
      </c>
      <c r="G1301">
        <v>41</v>
      </c>
      <c r="H1301" s="13">
        <v>70934</v>
      </c>
      <c r="I1301" s="13">
        <v>6551</v>
      </c>
      <c r="J1301" t="s">
        <v>25</v>
      </c>
      <c r="K1301" s="13">
        <f>HR_Data[[#This Row],[Salary]]+HR_Data[[#This Row],[Bonus]]</f>
        <v>77485</v>
      </c>
    </row>
    <row r="1302" spans="1:11" x14ac:dyDescent="0.25">
      <c r="A1302">
        <v>2301</v>
      </c>
      <c r="B1302" t="s">
        <v>1342</v>
      </c>
      <c r="C1302" t="s">
        <v>10</v>
      </c>
      <c r="D1302" t="s">
        <v>14</v>
      </c>
      <c r="E1302" t="s">
        <v>19</v>
      </c>
      <c r="F1302" t="s">
        <v>21</v>
      </c>
      <c r="G1302">
        <v>37</v>
      </c>
      <c r="H1302" s="13">
        <v>42331</v>
      </c>
      <c r="I1302" s="13">
        <v>18584</v>
      </c>
      <c r="J1302" t="s">
        <v>26</v>
      </c>
      <c r="K1302" s="13">
        <f>HR_Data[[#This Row],[Salary]]+HR_Data[[#This Row],[Bonus]]</f>
        <v>60915</v>
      </c>
    </row>
    <row r="1303" spans="1:11" x14ac:dyDescent="0.25">
      <c r="A1303">
        <v>2302</v>
      </c>
      <c r="B1303" t="s">
        <v>1343</v>
      </c>
      <c r="C1303" t="s">
        <v>11</v>
      </c>
      <c r="D1303" t="s">
        <v>14</v>
      </c>
      <c r="E1303" t="s">
        <v>16</v>
      </c>
      <c r="F1303" t="s">
        <v>22</v>
      </c>
      <c r="G1303">
        <v>33</v>
      </c>
      <c r="H1303" s="13">
        <v>72672</v>
      </c>
      <c r="I1303" s="13">
        <v>28397</v>
      </c>
      <c r="J1303" t="s">
        <v>25</v>
      </c>
      <c r="K1303" s="13">
        <f>HR_Data[[#This Row],[Salary]]+HR_Data[[#This Row],[Bonus]]</f>
        <v>101069</v>
      </c>
    </row>
    <row r="1304" spans="1:11" x14ac:dyDescent="0.25">
      <c r="A1304">
        <v>2303</v>
      </c>
      <c r="B1304" t="s">
        <v>1344</v>
      </c>
      <c r="C1304" t="s">
        <v>8</v>
      </c>
      <c r="D1304" t="s">
        <v>14</v>
      </c>
      <c r="E1304" t="s">
        <v>19</v>
      </c>
      <c r="F1304" t="s">
        <v>22</v>
      </c>
      <c r="G1304">
        <v>34</v>
      </c>
      <c r="H1304" s="13">
        <v>111891</v>
      </c>
      <c r="I1304" s="13">
        <v>5761</v>
      </c>
      <c r="J1304" t="s">
        <v>25</v>
      </c>
      <c r="K1304" s="13">
        <f>HR_Data[[#This Row],[Salary]]+HR_Data[[#This Row],[Bonus]]</f>
        <v>117652</v>
      </c>
    </row>
    <row r="1305" spans="1:11" x14ac:dyDescent="0.25">
      <c r="A1305">
        <v>2304</v>
      </c>
      <c r="B1305" t="s">
        <v>1345</v>
      </c>
      <c r="C1305" t="s">
        <v>12</v>
      </c>
      <c r="D1305" t="s">
        <v>14</v>
      </c>
      <c r="E1305" t="s">
        <v>17</v>
      </c>
      <c r="F1305" t="s">
        <v>21</v>
      </c>
      <c r="G1305">
        <v>46</v>
      </c>
      <c r="H1305" s="13">
        <v>96860</v>
      </c>
      <c r="I1305" s="13">
        <v>17511</v>
      </c>
      <c r="J1305" t="s">
        <v>26</v>
      </c>
      <c r="K1305" s="13">
        <f>HR_Data[[#This Row],[Salary]]+HR_Data[[#This Row],[Bonus]]</f>
        <v>114371</v>
      </c>
    </row>
    <row r="1306" spans="1:11" x14ac:dyDescent="0.25">
      <c r="A1306">
        <v>2305</v>
      </c>
      <c r="B1306" t="s">
        <v>1346</v>
      </c>
      <c r="C1306" t="s">
        <v>10</v>
      </c>
      <c r="D1306" t="s">
        <v>14</v>
      </c>
      <c r="E1306" t="s">
        <v>18</v>
      </c>
      <c r="F1306" t="s">
        <v>22</v>
      </c>
      <c r="G1306">
        <v>53</v>
      </c>
      <c r="H1306" s="13">
        <v>113685</v>
      </c>
      <c r="I1306" s="13">
        <v>14471</v>
      </c>
      <c r="J1306" t="s">
        <v>25</v>
      </c>
      <c r="K1306" s="13">
        <f>HR_Data[[#This Row],[Salary]]+HR_Data[[#This Row],[Bonus]]</f>
        <v>128156</v>
      </c>
    </row>
    <row r="1307" spans="1:11" x14ac:dyDescent="0.25">
      <c r="A1307">
        <v>2306</v>
      </c>
      <c r="B1307" t="s">
        <v>1347</v>
      </c>
      <c r="C1307" t="s">
        <v>11</v>
      </c>
      <c r="D1307" t="s">
        <v>15</v>
      </c>
      <c r="E1307" t="s">
        <v>16</v>
      </c>
      <c r="F1307" t="s">
        <v>24</v>
      </c>
      <c r="G1307">
        <v>45</v>
      </c>
      <c r="H1307" s="13">
        <v>88754</v>
      </c>
      <c r="I1307" s="13">
        <v>17467</v>
      </c>
      <c r="J1307" t="s">
        <v>25</v>
      </c>
      <c r="K1307" s="13">
        <f>HR_Data[[#This Row],[Salary]]+HR_Data[[#This Row],[Bonus]]</f>
        <v>106221</v>
      </c>
    </row>
    <row r="1308" spans="1:11" x14ac:dyDescent="0.25">
      <c r="A1308">
        <v>2307</v>
      </c>
      <c r="B1308" t="s">
        <v>1348</v>
      </c>
      <c r="C1308" t="s">
        <v>11</v>
      </c>
      <c r="D1308" t="s">
        <v>14</v>
      </c>
      <c r="E1308" t="s">
        <v>20</v>
      </c>
      <c r="F1308" t="s">
        <v>23</v>
      </c>
      <c r="G1308">
        <v>30</v>
      </c>
      <c r="H1308" s="13">
        <v>105677</v>
      </c>
      <c r="I1308" s="13">
        <v>11163</v>
      </c>
      <c r="J1308" t="s">
        <v>26</v>
      </c>
      <c r="K1308" s="13">
        <f>HR_Data[[#This Row],[Salary]]+HR_Data[[#This Row],[Bonus]]</f>
        <v>116840</v>
      </c>
    </row>
    <row r="1309" spans="1:11" x14ac:dyDescent="0.25">
      <c r="A1309">
        <v>2308</v>
      </c>
      <c r="B1309" t="s">
        <v>1349</v>
      </c>
      <c r="C1309" t="s">
        <v>9</v>
      </c>
      <c r="D1309" t="s">
        <v>15</v>
      </c>
      <c r="E1309" t="s">
        <v>17</v>
      </c>
      <c r="F1309" t="s">
        <v>23</v>
      </c>
      <c r="G1309">
        <v>44</v>
      </c>
      <c r="H1309" s="13">
        <v>22837</v>
      </c>
      <c r="I1309" s="13">
        <v>21065</v>
      </c>
      <c r="J1309" t="s">
        <v>26</v>
      </c>
      <c r="K1309" s="13">
        <f>HR_Data[[#This Row],[Salary]]+HR_Data[[#This Row],[Bonus]]</f>
        <v>43902</v>
      </c>
    </row>
    <row r="1310" spans="1:11" x14ac:dyDescent="0.25">
      <c r="A1310">
        <v>2309</v>
      </c>
      <c r="B1310" t="s">
        <v>1350</v>
      </c>
      <c r="C1310" t="s">
        <v>8</v>
      </c>
      <c r="D1310" t="s">
        <v>15</v>
      </c>
      <c r="E1310" t="s">
        <v>18</v>
      </c>
      <c r="F1310" t="s">
        <v>22</v>
      </c>
      <c r="G1310">
        <v>34</v>
      </c>
      <c r="H1310" s="13">
        <v>60077</v>
      </c>
      <c r="I1310" s="13">
        <v>29019</v>
      </c>
      <c r="J1310" t="s">
        <v>25</v>
      </c>
      <c r="K1310" s="13">
        <f>HR_Data[[#This Row],[Salary]]+HR_Data[[#This Row],[Bonus]]</f>
        <v>89096</v>
      </c>
    </row>
    <row r="1311" spans="1:11" x14ac:dyDescent="0.25">
      <c r="A1311">
        <v>2310</v>
      </c>
      <c r="B1311" t="s">
        <v>1351</v>
      </c>
      <c r="C1311" t="s">
        <v>12</v>
      </c>
      <c r="D1311" t="s">
        <v>14</v>
      </c>
      <c r="E1311" t="s">
        <v>19</v>
      </c>
      <c r="F1311" t="s">
        <v>21</v>
      </c>
      <c r="G1311">
        <v>53</v>
      </c>
      <c r="H1311" s="13">
        <v>99915</v>
      </c>
      <c r="I1311" s="13">
        <v>16886</v>
      </c>
      <c r="J1311" t="s">
        <v>25</v>
      </c>
      <c r="K1311" s="13">
        <f>HR_Data[[#This Row],[Salary]]+HR_Data[[#This Row],[Bonus]]</f>
        <v>116801</v>
      </c>
    </row>
    <row r="1312" spans="1:11" x14ac:dyDescent="0.25">
      <c r="A1312">
        <v>2311</v>
      </c>
      <c r="B1312" t="s">
        <v>1352</v>
      </c>
      <c r="C1312" t="s">
        <v>2042</v>
      </c>
      <c r="D1312" t="s">
        <v>14</v>
      </c>
      <c r="E1312" t="s">
        <v>18</v>
      </c>
      <c r="F1312" t="s">
        <v>21</v>
      </c>
      <c r="G1312">
        <v>36</v>
      </c>
      <c r="H1312" s="13">
        <v>24239</v>
      </c>
      <c r="I1312" s="13">
        <v>24665</v>
      </c>
      <c r="J1312" t="s">
        <v>25</v>
      </c>
      <c r="K1312" s="13">
        <f>HR_Data[[#This Row],[Salary]]+HR_Data[[#This Row],[Bonus]]</f>
        <v>48904</v>
      </c>
    </row>
    <row r="1313" spans="1:12" x14ac:dyDescent="0.25">
      <c r="A1313">
        <v>2312</v>
      </c>
      <c r="B1313" t="s">
        <v>1353</v>
      </c>
      <c r="C1313" t="s">
        <v>9</v>
      </c>
      <c r="D1313" t="s">
        <v>14</v>
      </c>
      <c r="E1313" t="s">
        <v>17</v>
      </c>
      <c r="F1313" t="s">
        <v>24</v>
      </c>
      <c r="G1313">
        <v>57</v>
      </c>
      <c r="H1313" s="13">
        <v>106348</v>
      </c>
      <c r="I1313" s="13">
        <v>22920</v>
      </c>
      <c r="J1313" t="s">
        <v>27</v>
      </c>
      <c r="K1313" s="13">
        <f>HR_Data[[#This Row],[Salary]]+HR_Data[[#This Row],[Bonus]]</f>
        <v>129268</v>
      </c>
      <c r="L1313" s="2"/>
    </row>
    <row r="1314" spans="1:12" x14ac:dyDescent="0.25">
      <c r="A1314">
        <v>2313</v>
      </c>
      <c r="B1314" t="s">
        <v>1354</v>
      </c>
      <c r="C1314" t="s">
        <v>10</v>
      </c>
      <c r="D1314" t="s">
        <v>15</v>
      </c>
      <c r="E1314" t="s">
        <v>17</v>
      </c>
      <c r="F1314" t="s">
        <v>21</v>
      </c>
      <c r="G1314">
        <v>26</v>
      </c>
      <c r="H1314" s="13">
        <v>49669</v>
      </c>
      <c r="I1314" s="13">
        <v>11201</v>
      </c>
      <c r="J1314" t="s">
        <v>25</v>
      </c>
      <c r="K1314" s="13">
        <f>HR_Data[[#This Row],[Salary]]+HR_Data[[#This Row],[Bonus]]</f>
        <v>60870</v>
      </c>
    </row>
    <row r="1315" spans="1:12" x14ac:dyDescent="0.25">
      <c r="A1315">
        <v>2314</v>
      </c>
      <c r="B1315" t="s">
        <v>1355</v>
      </c>
      <c r="C1315" t="s">
        <v>10</v>
      </c>
      <c r="D1315" t="s">
        <v>14</v>
      </c>
      <c r="E1315" t="s">
        <v>18</v>
      </c>
      <c r="F1315" t="s">
        <v>21</v>
      </c>
      <c r="G1315">
        <v>43</v>
      </c>
      <c r="H1315" s="13">
        <v>68624</v>
      </c>
      <c r="I1315" s="13">
        <v>24548</v>
      </c>
      <c r="J1315" t="s">
        <v>25</v>
      </c>
      <c r="K1315" s="13">
        <f>HR_Data[[#This Row],[Salary]]+HR_Data[[#This Row],[Bonus]]</f>
        <v>93172</v>
      </c>
    </row>
    <row r="1316" spans="1:12" x14ac:dyDescent="0.25">
      <c r="A1316">
        <v>2315</v>
      </c>
      <c r="B1316" t="s">
        <v>1356</v>
      </c>
      <c r="C1316" t="s">
        <v>9</v>
      </c>
      <c r="D1316" t="s">
        <v>15</v>
      </c>
      <c r="E1316" t="s">
        <v>19</v>
      </c>
      <c r="F1316" t="s">
        <v>24</v>
      </c>
      <c r="G1316">
        <v>37</v>
      </c>
      <c r="H1316" s="13">
        <v>95147</v>
      </c>
      <c r="I1316" s="13">
        <v>20580</v>
      </c>
      <c r="J1316" t="s">
        <v>25</v>
      </c>
      <c r="K1316" s="13">
        <f>HR_Data[[#This Row],[Salary]]+HR_Data[[#This Row],[Bonus]]</f>
        <v>115727</v>
      </c>
    </row>
    <row r="1317" spans="1:12" x14ac:dyDescent="0.25">
      <c r="A1317">
        <v>2316</v>
      </c>
      <c r="B1317" t="s">
        <v>1357</v>
      </c>
      <c r="C1317" t="s">
        <v>11</v>
      </c>
      <c r="D1317" t="s">
        <v>14</v>
      </c>
      <c r="E1317" t="s">
        <v>18</v>
      </c>
      <c r="F1317" t="s">
        <v>22</v>
      </c>
      <c r="G1317">
        <v>31</v>
      </c>
      <c r="H1317" s="13">
        <v>24150</v>
      </c>
      <c r="I1317" s="13">
        <v>24154</v>
      </c>
      <c r="J1317" t="s">
        <v>25</v>
      </c>
      <c r="K1317" s="13">
        <f>HR_Data[[#This Row],[Salary]]+HR_Data[[#This Row],[Bonus]]</f>
        <v>48304</v>
      </c>
    </row>
    <row r="1318" spans="1:12" x14ac:dyDescent="0.25">
      <c r="A1318">
        <v>2317</v>
      </c>
      <c r="B1318" t="s">
        <v>1358</v>
      </c>
      <c r="C1318" t="s">
        <v>10</v>
      </c>
      <c r="D1318" t="s">
        <v>14</v>
      </c>
      <c r="E1318" t="s">
        <v>17</v>
      </c>
      <c r="F1318" t="s">
        <v>23</v>
      </c>
      <c r="G1318">
        <v>45</v>
      </c>
      <c r="H1318" s="13">
        <v>31109</v>
      </c>
      <c r="I1318" s="13">
        <v>12399</v>
      </c>
      <c r="J1318" t="s">
        <v>25</v>
      </c>
      <c r="K1318" s="13">
        <f>HR_Data[[#This Row],[Salary]]+HR_Data[[#This Row],[Bonus]]</f>
        <v>43508</v>
      </c>
    </row>
    <row r="1319" spans="1:12" x14ac:dyDescent="0.25">
      <c r="A1319">
        <v>2318</v>
      </c>
      <c r="B1319" t="s">
        <v>1359</v>
      </c>
      <c r="C1319" t="s">
        <v>8</v>
      </c>
      <c r="D1319" t="s">
        <v>15</v>
      </c>
      <c r="E1319" t="s">
        <v>17</v>
      </c>
      <c r="F1319" t="s">
        <v>24</v>
      </c>
      <c r="G1319">
        <v>39</v>
      </c>
      <c r="H1319" s="13">
        <v>119750</v>
      </c>
      <c r="I1319" s="13">
        <v>25229</v>
      </c>
      <c r="J1319" t="s">
        <v>25</v>
      </c>
      <c r="K1319" s="13">
        <f>HR_Data[[#This Row],[Salary]]+HR_Data[[#This Row],[Bonus]]</f>
        <v>144979</v>
      </c>
    </row>
    <row r="1320" spans="1:12" x14ac:dyDescent="0.25">
      <c r="A1320">
        <v>2319</v>
      </c>
      <c r="B1320" t="s">
        <v>1360</v>
      </c>
      <c r="C1320" t="s">
        <v>12</v>
      </c>
      <c r="D1320" t="s">
        <v>15</v>
      </c>
      <c r="E1320" t="s">
        <v>20</v>
      </c>
      <c r="F1320" t="s">
        <v>22</v>
      </c>
      <c r="G1320">
        <v>39</v>
      </c>
      <c r="H1320" s="13">
        <v>46016</v>
      </c>
      <c r="I1320" s="13">
        <v>24819</v>
      </c>
      <c r="J1320" t="s">
        <v>26</v>
      </c>
      <c r="K1320" s="13">
        <f>HR_Data[[#This Row],[Salary]]+HR_Data[[#This Row],[Bonus]]</f>
        <v>70835</v>
      </c>
    </row>
    <row r="1321" spans="1:12" x14ac:dyDescent="0.25">
      <c r="A1321">
        <v>2320</v>
      </c>
      <c r="B1321" t="s">
        <v>1361</v>
      </c>
      <c r="C1321" t="s">
        <v>8</v>
      </c>
      <c r="D1321" t="s">
        <v>14</v>
      </c>
      <c r="E1321" t="s">
        <v>20</v>
      </c>
      <c r="F1321" t="s">
        <v>24</v>
      </c>
      <c r="G1321">
        <v>28</v>
      </c>
      <c r="H1321" s="13">
        <v>31936</v>
      </c>
      <c r="I1321" s="13">
        <v>26094</v>
      </c>
      <c r="J1321" t="s">
        <v>27</v>
      </c>
      <c r="K1321" s="13">
        <f>HR_Data[[#This Row],[Salary]]+HR_Data[[#This Row],[Bonus]]</f>
        <v>58030</v>
      </c>
    </row>
    <row r="1322" spans="1:12" x14ac:dyDescent="0.25">
      <c r="A1322">
        <v>2321</v>
      </c>
      <c r="B1322" t="s">
        <v>1362</v>
      </c>
      <c r="C1322" t="s">
        <v>10</v>
      </c>
      <c r="D1322" t="s">
        <v>15</v>
      </c>
      <c r="E1322" t="s">
        <v>16</v>
      </c>
      <c r="F1322" t="s">
        <v>22</v>
      </c>
      <c r="G1322">
        <v>25</v>
      </c>
      <c r="H1322" s="13">
        <v>31036</v>
      </c>
      <c r="I1322" s="13">
        <v>21945</v>
      </c>
      <c r="J1322" t="s">
        <v>25</v>
      </c>
      <c r="K1322" s="13">
        <f>HR_Data[[#This Row],[Salary]]+HR_Data[[#This Row],[Bonus]]</f>
        <v>52981</v>
      </c>
    </row>
    <row r="1323" spans="1:12" x14ac:dyDescent="0.25">
      <c r="A1323">
        <v>2322</v>
      </c>
      <c r="B1323" t="s">
        <v>1363</v>
      </c>
      <c r="C1323" t="s">
        <v>2042</v>
      </c>
      <c r="D1323" t="s">
        <v>15</v>
      </c>
      <c r="E1323" t="s">
        <v>17</v>
      </c>
      <c r="F1323" t="s">
        <v>24</v>
      </c>
      <c r="G1323">
        <v>47</v>
      </c>
      <c r="H1323" s="13">
        <v>59236</v>
      </c>
      <c r="I1323" s="13">
        <v>26101</v>
      </c>
      <c r="J1323" t="s">
        <v>25</v>
      </c>
      <c r="K1323" s="13">
        <f>HR_Data[[#This Row],[Salary]]+HR_Data[[#This Row],[Bonus]]</f>
        <v>85337</v>
      </c>
    </row>
    <row r="1324" spans="1:12" x14ac:dyDescent="0.25">
      <c r="A1324">
        <v>2323</v>
      </c>
      <c r="B1324" t="s">
        <v>1364</v>
      </c>
      <c r="C1324" t="s">
        <v>12</v>
      </c>
      <c r="D1324" t="s">
        <v>15</v>
      </c>
      <c r="E1324" t="s">
        <v>20</v>
      </c>
      <c r="F1324" t="s">
        <v>22</v>
      </c>
      <c r="G1324">
        <v>26</v>
      </c>
      <c r="H1324" s="13">
        <v>34021</v>
      </c>
      <c r="I1324" s="13">
        <v>12623</v>
      </c>
      <c r="J1324" t="s">
        <v>25</v>
      </c>
      <c r="K1324" s="13">
        <f>HR_Data[[#This Row],[Salary]]+HR_Data[[#This Row],[Bonus]]</f>
        <v>46644</v>
      </c>
    </row>
    <row r="1325" spans="1:12" x14ac:dyDescent="0.25">
      <c r="A1325">
        <v>2324</v>
      </c>
      <c r="B1325" t="s">
        <v>1365</v>
      </c>
      <c r="C1325" t="s">
        <v>12</v>
      </c>
      <c r="D1325" t="s">
        <v>15</v>
      </c>
      <c r="E1325" t="s">
        <v>18</v>
      </c>
      <c r="F1325" t="s">
        <v>24</v>
      </c>
      <c r="G1325">
        <v>37</v>
      </c>
      <c r="H1325" s="13">
        <v>56943</v>
      </c>
      <c r="I1325" s="13">
        <v>15327</v>
      </c>
      <c r="J1325" t="s">
        <v>25</v>
      </c>
      <c r="K1325" s="13">
        <f>HR_Data[[#This Row],[Salary]]+HR_Data[[#This Row],[Bonus]]</f>
        <v>72270</v>
      </c>
    </row>
    <row r="1326" spans="1:12" x14ac:dyDescent="0.25">
      <c r="A1326">
        <v>2325</v>
      </c>
      <c r="B1326" t="s">
        <v>1366</v>
      </c>
      <c r="C1326" t="s">
        <v>9</v>
      </c>
      <c r="D1326" t="s">
        <v>15</v>
      </c>
      <c r="E1326" t="s">
        <v>19</v>
      </c>
      <c r="F1326" t="s">
        <v>22</v>
      </c>
      <c r="G1326">
        <v>56</v>
      </c>
      <c r="H1326" s="13">
        <v>101007</v>
      </c>
      <c r="I1326" s="13">
        <v>12187</v>
      </c>
      <c r="J1326" t="s">
        <v>25</v>
      </c>
      <c r="K1326" s="13">
        <f>HR_Data[[#This Row],[Salary]]+HR_Data[[#This Row],[Bonus]]</f>
        <v>113194</v>
      </c>
    </row>
    <row r="1327" spans="1:12" x14ac:dyDescent="0.25">
      <c r="A1327">
        <v>2326</v>
      </c>
      <c r="B1327" t="s">
        <v>1367</v>
      </c>
      <c r="C1327" t="s">
        <v>9</v>
      </c>
      <c r="D1327" t="s">
        <v>14</v>
      </c>
      <c r="E1327" t="s">
        <v>18</v>
      </c>
      <c r="F1327" t="s">
        <v>24</v>
      </c>
      <c r="G1327">
        <v>47</v>
      </c>
      <c r="H1327" s="13">
        <v>70016</v>
      </c>
      <c r="I1327" s="13">
        <v>7180</v>
      </c>
      <c r="J1327" t="s">
        <v>26</v>
      </c>
      <c r="K1327" s="13">
        <f>HR_Data[[#This Row],[Salary]]+HR_Data[[#This Row],[Bonus]]</f>
        <v>77196</v>
      </c>
    </row>
    <row r="1328" spans="1:12" x14ac:dyDescent="0.25">
      <c r="A1328">
        <v>2327</v>
      </c>
      <c r="B1328" t="s">
        <v>1368</v>
      </c>
      <c r="C1328" t="s">
        <v>2042</v>
      </c>
      <c r="D1328" t="s">
        <v>14</v>
      </c>
      <c r="E1328" t="s">
        <v>19</v>
      </c>
      <c r="F1328" t="s">
        <v>23</v>
      </c>
      <c r="G1328">
        <v>39</v>
      </c>
      <c r="H1328" s="13">
        <v>43244</v>
      </c>
      <c r="I1328" s="13">
        <v>6960</v>
      </c>
      <c r="J1328" t="s">
        <v>25</v>
      </c>
      <c r="K1328" s="13">
        <f>HR_Data[[#This Row],[Salary]]+HR_Data[[#This Row],[Bonus]]</f>
        <v>50204</v>
      </c>
    </row>
    <row r="1329" spans="1:11" x14ac:dyDescent="0.25">
      <c r="A1329">
        <v>2328</v>
      </c>
      <c r="B1329" t="s">
        <v>1369</v>
      </c>
      <c r="C1329" t="s">
        <v>11</v>
      </c>
      <c r="D1329" t="s">
        <v>15</v>
      </c>
      <c r="E1329" t="s">
        <v>20</v>
      </c>
      <c r="F1329" t="s">
        <v>23</v>
      </c>
      <c r="G1329">
        <v>50</v>
      </c>
      <c r="H1329" s="13">
        <v>83027</v>
      </c>
      <c r="I1329" s="13">
        <v>25263</v>
      </c>
      <c r="J1329" t="s">
        <v>25</v>
      </c>
      <c r="K1329" s="13">
        <f>HR_Data[[#This Row],[Salary]]+HR_Data[[#This Row],[Bonus]]</f>
        <v>108290</v>
      </c>
    </row>
    <row r="1330" spans="1:11" x14ac:dyDescent="0.25">
      <c r="A1330">
        <v>2329</v>
      </c>
      <c r="B1330" t="s">
        <v>1370</v>
      </c>
      <c r="C1330" t="s">
        <v>12</v>
      </c>
      <c r="D1330" t="s">
        <v>14</v>
      </c>
      <c r="E1330" t="s">
        <v>16</v>
      </c>
      <c r="F1330" t="s">
        <v>21</v>
      </c>
      <c r="G1330">
        <v>44</v>
      </c>
      <c r="H1330" s="13">
        <v>58985</v>
      </c>
      <c r="I1330" s="13">
        <v>10153</v>
      </c>
      <c r="J1330" t="s">
        <v>26</v>
      </c>
      <c r="K1330" s="13">
        <f>HR_Data[[#This Row],[Salary]]+HR_Data[[#This Row],[Bonus]]</f>
        <v>69138</v>
      </c>
    </row>
    <row r="1331" spans="1:11" x14ac:dyDescent="0.25">
      <c r="A1331">
        <v>2330</v>
      </c>
      <c r="B1331" t="s">
        <v>1371</v>
      </c>
      <c r="C1331" t="s">
        <v>2042</v>
      </c>
      <c r="D1331" t="s">
        <v>14</v>
      </c>
      <c r="E1331" t="s">
        <v>18</v>
      </c>
      <c r="F1331" t="s">
        <v>22</v>
      </c>
      <c r="G1331">
        <v>35</v>
      </c>
      <c r="H1331" s="13">
        <v>21502</v>
      </c>
      <c r="I1331" s="13">
        <v>12035</v>
      </c>
      <c r="J1331" t="s">
        <v>25</v>
      </c>
      <c r="K1331" s="13">
        <f>HR_Data[[#This Row],[Salary]]+HR_Data[[#This Row],[Bonus]]</f>
        <v>33537</v>
      </c>
    </row>
    <row r="1332" spans="1:11" x14ac:dyDescent="0.25">
      <c r="A1332">
        <v>2331</v>
      </c>
      <c r="B1332" t="s">
        <v>1372</v>
      </c>
      <c r="C1332" t="s">
        <v>9</v>
      </c>
      <c r="D1332" t="s">
        <v>15</v>
      </c>
      <c r="E1332" t="s">
        <v>18</v>
      </c>
      <c r="F1332" t="s">
        <v>24</v>
      </c>
      <c r="G1332">
        <v>36</v>
      </c>
      <c r="H1332" s="13">
        <v>73836</v>
      </c>
      <c r="I1332" s="13">
        <v>16471</v>
      </c>
      <c r="J1332" t="s">
        <v>25</v>
      </c>
      <c r="K1332" s="13">
        <f>HR_Data[[#This Row],[Salary]]+HR_Data[[#This Row],[Bonus]]</f>
        <v>90307</v>
      </c>
    </row>
    <row r="1333" spans="1:11" x14ac:dyDescent="0.25">
      <c r="A1333">
        <v>2332</v>
      </c>
      <c r="B1333" t="s">
        <v>1373</v>
      </c>
      <c r="C1333" t="s">
        <v>9</v>
      </c>
      <c r="D1333" t="s">
        <v>14</v>
      </c>
      <c r="E1333" t="s">
        <v>18</v>
      </c>
      <c r="F1333" t="s">
        <v>22</v>
      </c>
      <c r="G1333">
        <v>54</v>
      </c>
      <c r="H1333" s="13">
        <v>119714</v>
      </c>
      <c r="I1333" s="13">
        <v>24654</v>
      </c>
      <c r="J1333" t="s">
        <v>26</v>
      </c>
      <c r="K1333" s="13">
        <f>HR_Data[[#This Row],[Salary]]+HR_Data[[#This Row],[Bonus]]</f>
        <v>144368</v>
      </c>
    </row>
    <row r="1334" spans="1:11" x14ac:dyDescent="0.25">
      <c r="A1334">
        <v>2333</v>
      </c>
      <c r="B1334" t="s">
        <v>1374</v>
      </c>
      <c r="C1334" t="s">
        <v>12</v>
      </c>
      <c r="D1334" t="s">
        <v>15</v>
      </c>
      <c r="E1334" t="s">
        <v>19</v>
      </c>
      <c r="F1334" t="s">
        <v>23</v>
      </c>
      <c r="G1334">
        <v>46</v>
      </c>
      <c r="H1334" s="13">
        <v>23770</v>
      </c>
      <c r="I1334" s="13">
        <v>26071</v>
      </c>
      <c r="J1334" t="s">
        <v>25</v>
      </c>
      <c r="K1334" s="13">
        <f>HR_Data[[#This Row],[Salary]]+HR_Data[[#This Row],[Bonus]]</f>
        <v>49841</v>
      </c>
    </row>
    <row r="1335" spans="1:11" x14ac:dyDescent="0.25">
      <c r="A1335">
        <v>2334</v>
      </c>
      <c r="B1335" t="s">
        <v>1375</v>
      </c>
      <c r="C1335" t="s">
        <v>8</v>
      </c>
      <c r="D1335" t="s">
        <v>15</v>
      </c>
      <c r="E1335" t="s">
        <v>20</v>
      </c>
      <c r="F1335" t="s">
        <v>22</v>
      </c>
      <c r="G1335">
        <v>42</v>
      </c>
      <c r="H1335" s="13">
        <v>62865</v>
      </c>
      <c r="I1335" s="13">
        <v>5582</v>
      </c>
      <c r="J1335" t="s">
        <v>25</v>
      </c>
      <c r="K1335" s="13">
        <f>HR_Data[[#This Row],[Salary]]+HR_Data[[#This Row],[Bonus]]</f>
        <v>68447</v>
      </c>
    </row>
    <row r="1336" spans="1:11" x14ac:dyDescent="0.25">
      <c r="A1336">
        <v>2335</v>
      </c>
      <c r="B1336" t="s">
        <v>1376</v>
      </c>
      <c r="C1336" t="s">
        <v>10</v>
      </c>
      <c r="D1336" t="s">
        <v>14</v>
      </c>
      <c r="E1336" t="s">
        <v>18</v>
      </c>
      <c r="F1336" t="s">
        <v>24</v>
      </c>
      <c r="G1336">
        <v>38</v>
      </c>
      <c r="H1336" s="13">
        <v>73811</v>
      </c>
      <c r="I1336" s="13">
        <v>20514</v>
      </c>
      <c r="J1336" t="s">
        <v>25</v>
      </c>
      <c r="K1336" s="13">
        <f>HR_Data[[#This Row],[Salary]]+HR_Data[[#This Row],[Bonus]]</f>
        <v>94325</v>
      </c>
    </row>
    <row r="1337" spans="1:11" x14ac:dyDescent="0.25">
      <c r="A1337">
        <v>2336</v>
      </c>
      <c r="B1337" t="s">
        <v>1377</v>
      </c>
      <c r="C1337" t="s">
        <v>9</v>
      </c>
      <c r="D1337" t="s">
        <v>15</v>
      </c>
      <c r="E1337" t="s">
        <v>18</v>
      </c>
      <c r="F1337" t="s">
        <v>22</v>
      </c>
      <c r="G1337">
        <v>44</v>
      </c>
      <c r="H1337" s="13">
        <v>24001</v>
      </c>
      <c r="I1337" s="13">
        <v>20531</v>
      </c>
      <c r="J1337" t="s">
        <v>25</v>
      </c>
      <c r="K1337" s="13">
        <f>HR_Data[[#This Row],[Salary]]+HR_Data[[#This Row],[Bonus]]</f>
        <v>44532</v>
      </c>
    </row>
    <row r="1338" spans="1:11" x14ac:dyDescent="0.25">
      <c r="A1338">
        <v>2337</v>
      </c>
      <c r="B1338" t="s">
        <v>1378</v>
      </c>
      <c r="C1338" t="s">
        <v>11</v>
      </c>
      <c r="D1338" t="s">
        <v>15</v>
      </c>
      <c r="E1338" t="s">
        <v>16</v>
      </c>
      <c r="F1338" t="s">
        <v>24</v>
      </c>
      <c r="G1338">
        <v>38</v>
      </c>
      <c r="H1338" s="13">
        <v>80848</v>
      </c>
      <c r="I1338" s="13">
        <v>21672</v>
      </c>
      <c r="J1338" t="s">
        <v>25</v>
      </c>
      <c r="K1338" s="13">
        <f>HR_Data[[#This Row],[Salary]]+HR_Data[[#This Row],[Bonus]]</f>
        <v>102520</v>
      </c>
    </row>
    <row r="1339" spans="1:11" x14ac:dyDescent="0.25">
      <c r="A1339">
        <v>2338</v>
      </c>
      <c r="B1339" t="s">
        <v>1379</v>
      </c>
      <c r="C1339" t="s">
        <v>11</v>
      </c>
      <c r="D1339" t="s">
        <v>15</v>
      </c>
      <c r="E1339" t="s">
        <v>16</v>
      </c>
      <c r="F1339" t="s">
        <v>23</v>
      </c>
      <c r="G1339">
        <v>35</v>
      </c>
      <c r="H1339" s="13">
        <v>72635</v>
      </c>
      <c r="I1339" s="13">
        <v>27048</v>
      </c>
      <c r="J1339" t="s">
        <v>25</v>
      </c>
      <c r="K1339" s="13">
        <f>HR_Data[[#This Row],[Salary]]+HR_Data[[#This Row],[Bonus]]</f>
        <v>99683</v>
      </c>
    </row>
    <row r="1340" spans="1:11" x14ac:dyDescent="0.25">
      <c r="A1340">
        <v>2339</v>
      </c>
      <c r="B1340" t="s">
        <v>1380</v>
      </c>
      <c r="C1340" t="s">
        <v>9</v>
      </c>
      <c r="D1340" t="s">
        <v>15</v>
      </c>
      <c r="E1340" t="s">
        <v>20</v>
      </c>
      <c r="F1340" t="s">
        <v>23</v>
      </c>
      <c r="G1340">
        <v>50</v>
      </c>
      <c r="H1340" s="13">
        <v>40946</v>
      </c>
      <c r="I1340" s="13">
        <v>12979</v>
      </c>
      <c r="J1340" t="s">
        <v>25</v>
      </c>
      <c r="K1340" s="13">
        <f>HR_Data[[#This Row],[Salary]]+HR_Data[[#This Row],[Bonus]]</f>
        <v>53925</v>
      </c>
    </row>
    <row r="1341" spans="1:11" x14ac:dyDescent="0.25">
      <c r="A1341">
        <v>2340</v>
      </c>
      <c r="B1341" t="s">
        <v>1381</v>
      </c>
      <c r="C1341" t="s">
        <v>8</v>
      </c>
      <c r="D1341" t="s">
        <v>15</v>
      </c>
      <c r="E1341" t="s">
        <v>20</v>
      </c>
      <c r="F1341" t="s">
        <v>23</v>
      </c>
      <c r="G1341">
        <v>41</v>
      </c>
      <c r="H1341" s="13">
        <v>86134</v>
      </c>
      <c r="I1341" s="13">
        <v>25243</v>
      </c>
      <c r="J1341" t="s">
        <v>25</v>
      </c>
      <c r="K1341" s="13">
        <f>HR_Data[[#This Row],[Salary]]+HR_Data[[#This Row],[Bonus]]</f>
        <v>111377</v>
      </c>
    </row>
    <row r="1342" spans="1:11" x14ac:dyDescent="0.25">
      <c r="A1342">
        <v>2341</v>
      </c>
      <c r="B1342" t="s">
        <v>1382</v>
      </c>
      <c r="C1342" t="s">
        <v>8</v>
      </c>
      <c r="D1342" t="s">
        <v>14</v>
      </c>
      <c r="E1342" t="s">
        <v>17</v>
      </c>
      <c r="F1342" t="s">
        <v>21</v>
      </c>
      <c r="G1342">
        <v>51</v>
      </c>
      <c r="H1342" s="13">
        <v>115852</v>
      </c>
      <c r="I1342" s="13">
        <v>8060</v>
      </c>
      <c r="J1342" t="s">
        <v>26</v>
      </c>
      <c r="K1342" s="13">
        <f>HR_Data[[#This Row],[Salary]]+HR_Data[[#This Row],[Bonus]]</f>
        <v>123912</v>
      </c>
    </row>
    <row r="1343" spans="1:11" x14ac:dyDescent="0.25">
      <c r="A1343">
        <v>2342</v>
      </c>
      <c r="B1343" t="s">
        <v>1383</v>
      </c>
      <c r="C1343" t="s">
        <v>2042</v>
      </c>
      <c r="D1343" t="s">
        <v>14</v>
      </c>
      <c r="E1343" t="s">
        <v>16</v>
      </c>
      <c r="F1343" t="s">
        <v>23</v>
      </c>
      <c r="G1343">
        <v>40</v>
      </c>
      <c r="H1343" s="13">
        <v>111103</v>
      </c>
      <c r="I1343" s="13">
        <v>18731</v>
      </c>
      <c r="J1343" t="s">
        <v>25</v>
      </c>
      <c r="K1343" s="13">
        <f>HR_Data[[#This Row],[Salary]]+HR_Data[[#This Row],[Bonus]]</f>
        <v>129834</v>
      </c>
    </row>
    <row r="1344" spans="1:11" x14ac:dyDescent="0.25">
      <c r="A1344">
        <v>2343</v>
      </c>
      <c r="B1344" t="s">
        <v>1384</v>
      </c>
      <c r="C1344" t="s">
        <v>11</v>
      </c>
      <c r="D1344" t="s">
        <v>15</v>
      </c>
      <c r="E1344" t="s">
        <v>17</v>
      </c>
      <c r="F1344" t="s">
        <v>22</v>
      </c>
      <c r="G1344">
        <v>34</v>
      </c>
      <c r="H1344" s="13">
        <v>112044</v>
      </c>
      <c r="I1344" s="13">
        <v>17294</v>
      </c>
      <c r="J1344" t="s">
        <v>26</v>
      </c>
      <c r="K1344" s="13">
        <f>HR_Data[[#This Row],[Salary]]+HR_Data[[#This Row],[Bonus]]</f>
        <v>129338</v>
      </c>
    </row>
    <row r="1345" spans="1:11" x14ac:dyDescent="0.25">
      <c r="A1345">
        <v>2344</v>
      </c>
      <c r="B1345" t="s">
        <v>1385</v>
      </c>
      <c r="C1345" t="s">
        <v>2042</v>
      </c>
      <c r="D1345" t="s">
        <v>15</v>
      </c>
      <c r="E1345" t="s">
        <v>19</v>
      </c>
      <c r="F1345" t="s">
        <v>21</v>
      </c>
      <c r="G1345">
        <v>39</v>
      </c>
      <c r="H1345" s="13">
        <v>63744</v>
      </c>
      <c r="I1345" s="13">
        <v>22567</v>
      </c>
      <c r="J1345" t="s">
        <v>25</v>
      </c>
      <c r="K1345" s="13">
        <f>HR_Data[[#This Row],[Salary]]+HR_Data[[#This Row],[Bonus]]</f>
        <v>86311</v>
      </c>
    </row>
    <row r="1346" spans="1:11" x14ac:dyDescent="0.25">
      <c r="A1346">
        <v>2345</v>
      </c>
      <c r="B1346" t="s">
        <v>1386</v>
      </c>
      <c r="C1346" t="s">
        <v>11</v>
      </c>
      <c r="D1346" t="s">
        <v>14</v>
      </c>
      <c r="E1346" t="s">
        <v>17</v>
      </c>
      <c r="F1346" t="s">
        <v>23</v>
      </c>
      <c r="G1346">
        <v>44</v>
      </c>
      <c r="H1346" s="13">
        <v>59159</v>
      </c>
      <c r="I1346" s="13">
        <v>25719</v>
      </c>
      <c r="J1346" t="s">
        <v>26</v>
      </c>
      <c r="K1346" s="13">
        <f>HR_Data[[#This Row],[Salary]]+HR_Data[[#This Row],[Bonus]]</f>
        <v>84878</v>
      </c>
    </row>
    <row r="1347" spans="1:11" x14ac:dyDescent="0.25">
      <c r="A1347">
        <v>2346</v>
      </c>
      <c r="B1347" t="s">
        <v>1387</v>
      </c>
      <c r="C1347" t="s">
        <v>10</v>
      </c>
      <c r="D1347" t="s">
        <v>15</v>
      </c>
      <c r="E1347" t="s">
        <v>18</v>
      </c>
      <c r="F1347" t="s">
        <v>22</v>
      </c>
      <c r="G1347">
        <v>54</v>
      </c>
      <c r="H1347" s="13">
        <v>115812</v>
      </c>
      <c r="I1347" s="13">
        <v>19274</v>
      </c>
      <c r="J1347" t="s">
        <v>25</v>
      </c>
      <c r="K1347" s="13">
        <f>HR_Data[[#This Row],[Salary]]+HR_Data[[#This Row],[Bonus]]</f>
        <v>135086</v>
      </c>
    </row>
    <row r="1348" spans="1:11" x14ac:dyDescent="0.25">
      <c r="A1348">
        <v>2347</v>
      </c>
      <c r="B1348" t="s">
        <v>1388</v>
      </c>
      <c r="C1348" t="s">
        <v>10</v>
      </c>
      <c r="D1348" t="s">
        <v>14</v>
      </c>
      <c r="E1348" t="s">
        <v>17</v>
      </c>
      <c r="F1348" t="s">
        <v>22</v>
      </c>
      <c r="G1348">
        <v>39</v>
      </c>
      <c r="H1348" s="13">
        <v>43671</v>
      </c>
      <c r="I1348" s="13">
        <v>22830</v>
      </c>
      <c r="J1348" t="s">
        <v>25</v>
      </c>
      <c r="K1348" s="13">
        <f>HR_Data[[#This Row],[Salary]]+HR_Data[[#This Row],[Bonus]]</f>
        <v>66501</v>
      </c>
    </row>
    <row r="1349" spans="1:11" x14ac:dyDescent="0.25">
      <c r="A1349">
        <v>2348</v>
      </c>
      <c r="B1349" t="s">
        <v>1389</v>
      </c>
      <c r="C1349" t="s">
        <v>12</v>
      </c>
      <c r="D1349" t="s">
        <v>15</v>
      </c>
      <c r="E1349" t="s">
        <v>20</v>
      </c>
      <c r="F1349" t="s">
        <v>22</v>
      </c>
      <c r="G1349">
        <v>30</v>
      </c>
      <c r="H1349" s="13">
        <v>36450</v>
      </c>
      <c r="I1349" s="13">
        <v>21348</v>
      </c>
      <c r="J1349" t="s">
        <v>25</v>
      </c>
      <c r="K1349" s="13">
        <f>HR_Data[[#This Row],[Salary]]+HR_Data[[#This Row],[Bonus]]</f>
        <v>57798</v>
      </c>
    </row>
    <row r="1350" spans="1:11" x14ac:dyDescent="0.25">
      <c r="A1350">
        <v>2349</v>
      </c>
      <c r="B1350" t="s">
        <v>1390</v>
      </c>
      <c r="C1350" t="s">
        <v>2042</v>
      </c>
      <c r="D1350" t="s">
        <v>15</v>
      </c>
      <c r="E1350" t="s">
        <v>19</v>
      </c>
      <c r="F1350" t="s">
        <v>24</v>
      </c>
      <c r="G1350">
        <v>54</v>
      </c>
      <c r="H1350" s="13">
        <v>34908</v>
      </c>
      <c r="I1350" s="13">
        <v>28063</v>
      </c>
      <c r="J1350" t="s">
        <v>25</v>
      </c>
      <c r="K1350" s="13">
        <f>HR_Data[[#This Row],[Salary]]+HR_Data[[#This Row],[Bonus]]</f>
        <v>62971</v>
      </c>
    </row>
    <row r="1351" spans="1:11" x14ac:dyDescent="0.25">
      <c r="A1351">
        <v>2350</v>
      </c>
      <c r="B1351" t="s">
        <v>1391</v>
      </c>
      <c r="C1351" t="s">
        <v>9</v>
      </c>
      <c r="D1351" t="s">
        <v>15</v>
      </c>
      <c r="E1351" t="s">
        <v>18</v>
      </c>
      <c r="F1351" t="s">
        <v>21</v>
      </c>
      <c r="G1351">
        <v>53</v>
      </c>
      <c r="H1351" s="13">
        <v>77275</v>
      </c>
      <c r="I1351" s="13">
        <v>27597</v>
      </c>
      <c r="J1351" t="s">
        <v>25</v>
      </c>
      <c r="K1351" s="13">
        <f>HR_Data[[#This Row],[Salary]]+HR_Data[[#This Row],[Bonus]]</f>
        <v>104872</v>
      </c>
    </row>
    <row r="1352" spans="1:11" x14ac:dyDescent="0.25">
      <c r="A1352">
        <v>2351</v>
      </c>
      <c r="B1352" t="s">
        <v>1392</v>
      </c>
      <c r="C1352" t="s">
        <v>2042</v>
      </c>
      <c r="D1352" t="s">
        <v>15</v>
      </c>
      <c r="E1352" t="s">
        <v>17</v>
      </c>
      <c r="F1352" t="s">
        <v>22</v>
      </c>
      <c r="G1352">
        <v>38</v>
      </c>
      <c r="H1352" s="13">
        <v>64358</v>
      </c>
      <c r="I1352" s="13">
        <v>6903</v>
      </c>
      <c r="J1352" t="s">
        <v>25</v>
      </c>
      <c r="K1352" s="13">
        <f>HR_Data[[#This Row],[Salary]]+HR_Data[[#This Row],[Bonus]]</f>
        <v>71261</v>
      </c>
    </row>
    <row r="1353" spans="1:11" x14ac:dyDescent="0.25">
      <c r="A1353">
        <v>2352</v>
      </c>
      <c r="B1353" t="s">
        <v>1393</v>
      </c>
      <c r="C1353" t="s">
        <v>9</v>
      </c>
      <c r="D1353" t="s">
        <v>15</v>
      </c>
      <c r="E1353" t="s">
        <v>19</v>
      </c>
      <c r="F1353" t="s">
        <v>24</v>
      </c>
      <c r="G1353">
        <v>40</v>
      </c>
      <c r="H1353" s="13">
        <v>69047</v>
      </c>
      <c r="I1353" s="13">
        <v>19551</v>
      </c>
      <c r="J1353" t="s">
        <v>25</v>
      </c>
      <c r="K1353" s="13">
        <f>HR_Data[[#This Row],[Salary]]+HR_Data[[#This Row],[Bonus]]</f>
        <v>88598</v>
      </c>
    </row>
    <row r="1354" spans="1:11" x14ac:dyDescent="0.25">
      <c r="A1354">
        <v>2353</v>
      </c>
      <c r="B1354" t="s">
        <v>1394</v>
      </c>
      <c r="C1354" t="s">
        <v>8</v>
      </c>
      <c r="D1354" t="s">
        <v>15</v>
      </c>
      <c r="E1354" t="s">
        <v>19</v>
      </c>
      <c r="F1354" t="s">
        <v>23</v>
      </c>
      <c r="G1354">
        <v>48</v>
      </c>
      <c r="H1354" s="13">
        <v>55518</v>
      </c>
      <c r="I1354" s="13">
        <v>29278</v>
      </c>
      <c r="J1354" t="s">
        <v>25</v>
      </c>
      <c r="K1354" s="13">
        <f>HR_Data[[#This Row],[Salary]]+HR_Data[[#This Row],[Bonus]]</f>
        <v>84796</v>
      </c>
    </row>
    <row r="1355" spans="1:11" x14ac:dyDescent="0.25">
      <c r="A1355">
        <v>2354</v>
      </c>
      <c r="B1355" t="s">
        <v>1395</v>
      </c>
      <c r="C1355" t="s">
        <v>2042</v>
      </c>
      <c r="D1355" t="s">
        <v>15</v>
      </c>
      <c r="E1355" t="s">
        <v>18</v>
      </c>
      <c r="F1355" t="s">
        <v>22</v>
      </c>
      <c r="G1355">
        <v>27</v>
      </c>
      <c r="H1355" s="13">
        <v>77813</v>
      </c>
      <c r="I1355" s="13">
        <v>20141</v>
      </c>
      <c r="J1355" t="s">
        <v>26</v>
      </c>
      <c r="K1355" s="13">
        <f>HR_Data[[#This Row],[Salary]]+HR_Data[[#This Row],[Bonus]]</f>
        <v>97954</v>
      </c>
    </row>
    <row r="1356" spans="1:11" x14ac:dyDescent="0.25">
      <c r="A1356">
        <v>2355</v>
      </c>
      <c r="B1356" t="s">
        <v>1396</v>
      </c>
      <c r="C1356" t="s">
        <v>8</v>
      </c>
      <c r="D1356" t="s">
        <v>14</v>
      </c>
      <c r="E1356" t="s">
        <v>17</v>
      </c>
      <c r="F1356" t="s">
        <v>24</v>
      </c>
      <c r="G1356">
        <v>56</v>
      </c>
      <c r="H1356" s="13">
        <v>116748</v>
      </c>
      <c r="I1356" s="13">
        <v>7377</v>
      </c>
      <c r="J1356" t="s">
        <v>25</v>
      </c>
      <c r="K1356" s="13">
        <f>HR_Data[[#This Row],[Salary]]+HR_Data[[#This Row],[Bonus]]</f>
        <v>124125</v>
      </c>
    </row>
    <row r="1357" spans="1:11" x14ac:dyDescent="0.25">
      <c r="A1357">
        <v>2356</v>
      </c>
      <c r="B1357" t="s">
        <v>1397</v>
      </c>
      <c r="C1357" t="s">
        <v>10</v>
      </c>
      <c r="D1357" t="s">
        <v>14</v>
      </c>
      <c r="E1357" t="s">
        <v>19</v>
      </c>
      <c r="F1357" t="s">
        <v>22</v>
      </c>
      <c r="G1357">
        <v>58</v>
      </c>
      <c r="H1357" s="13">
        <v>26806</v>
      </c>
      <c r="I1357" s="13">
        <v>5847</v>
      </c>
      <c r="J1357" t="s">
        <v>25</v>
      </c>
      <c r="K1357" s="13">
        <f>HR_Data[[#This Row],[Salary]]+HR_Data[[#This Row],[Bonus]]</f>
        <v>32653</v>
      </c>
    </row>
    <row r="1358" spans="1:11" x14ac:dyDescent="0.25">
      <c r="A1358">
        <v>2357</v>
      </c>
      <c r="B1358" t="s">
        <v>1398</v>
      </c>
      <c r="C1358" t="s">
        <v>10</v>
      </c>
      <c r="D1358" t="s">
        <v>14</v>
      </c>
      <c r="E1358" t="s">
        <v>19</v>
      </c>
      <c r="F1358" t="s">
        <v>21</v>
      </c>
      <c r="G1358">
        <v>55</v>
      </c>
      <c r="H1358" s="13">
        <v>60891</v>
      </c>
      <c r="I1358" s="13">
        <v>28754</v>
      </c>
      <c r="J1358" t="s">
        <v>25</v>
      </c>
      <c r="K1358" s="13">
        <f>HR_Data[[#This Row],[Salary]]+HR_Data[[#This Row],[Bonus]]</f>
        <v>89645</v>
      </c>
    </row>
    <row r="1359" spans="1:11" x14ac:dyDescent="0.25">
      <c r="A1359">
        <v>2358</v>
      </c>
      <c r="B1359" t="s">
        <v>1399</v>
      </c>
      <c r="C1359" t="s">
        <v>12</v>
      </c>
      <c r="D1359" t="s">
        <v>15</v>
      </c>
      <c r="E1359" t="s">
        <v>16</v>
      </c>
      <c r="F1359" t="s">
        <v>21</v>
      </c>
      <c r="G1359">
        <v>41</v>
      </c>
      <c r="H1359" s="13">
        <v>103551</v>
      </c>
      <c r="I1359" s="13">
        <v>19380</v>
      </c>
      <c r="J1359" t="s">
        <v>25</v>
      </c>
      <c r="K1359" s="13">
        <f>HR_Data[[#This Row],[Salary]]+HR_Data[[#This Row],[Bonus]]</f>
        <v>122931</v>
      </c>
    </row>
    <row r="1360" spans="1:11" x14ac:dyDescent="0.25">
      <c r="A1360">
        <v>2359</v>
      </c>
      <c r="B1360" t="s">
        <v>1400</v>
      </c>
      <c r="C1360" t="s">
        <v>2042</v>
      </c>
      <c r="D1360" t="s">
        <v>15</v>
      </c>
      <c r="E1360" t="s">
        <v>19</v>
      </c>
      <c r="F1360" t="s">
        <v>23</v>
      </c>
      <c r="G1360">
        <v>46</v>
      </c>
      <c r="H1360" s="13">
        <v>59220</v>
      </c>
      <c r="I1360" s="13">
        <v>27725</v>
      </c>
      <c r="J1360" t="s">
        <v>25</v>
      </c>
      <c r="K1360" s="13">
        <f>HR_Data[[#This Row],[Salary]]+HR_Data[[#This Row],[Bonus]]</f>
        <v>86945</v>
      </c>
    </row>
    <row r="1361" spans="1:11" x14ac:dyDescent="0.25">
      <c r="A1361">
        <v>2360</v>
      </c>
      <c r="B1361" t="s">
        <v>1401</v>
      </c>
      <c r="C1361" t="s">
        <v>8</v>
      </c>
      <c r="D1361" t="s">
        <v>15</v>
      </c>
      <c r="E1361" t="s">
        <v>16</v>
      </c>
      <c r="F1361" t="s">
        <v>22</v>
      </c>
      <c r="G1361">
        <v>25</v>
      </c>
      <c r="H1361" s="13">
        <v>37158</v>
      </c>
      <c r="I1361" s="13">
        <v>22623</v>
      </c>
      <c r="J1361" t="s">
        <v>25</v>
      </c>
      <c r="K1361" s="13">
        <f>HR_Data[[#This Row],[Salary]]+HR_Data[[#This Row],[Bonus]]</f>
        <v>59781</v>
      </c>
    </row>
    <row r="1362" spans="1:11" x14ac:dyDescent="0.25">
      <c r="A1362">
        <v>2361</v>
      </c>
      <c r="B1362" t="s">
        <v>1402</v>
      </c>
      <c r="C1362" t="s">
        <v>2042</v>
      </c>
      <c r="D1362" t="s">
        <v>15</v>
      </c>
      <c r="E1362" t="s">
        <v>17</v>
      </c>
      <c r="F1362" t="s">
        <v>24</v>
      </c>
      <c r="G1362">
        <v>31</v>
      </c>
      <c r="H1362" s="13">
        <v>100992</v>
      </c>
      <c r="I1362" s="13">
        <v>26984</v>
      </c>
      <c r="J1362" t="s">
        <v>25</v>
      </c>
      <c r="K1362" s="13">
        <f>HR_Data[[#This Row],[Salary]]+HR_Data[[#This Row],[Bonus]]</f>
        <v>127976</v>
      </c>
    </row>
    <row r="1363" spans="1:11" x14ac:dyDescent="0.25">
      <c r="A1363">
        <v>2362</v>
      </c>
      <c r="B1363" t="s">
        <v>1403</v>
      </c>
      <c r="C1363" t="s">
        <v>10</v>
      </c>
      <c r="D1363" t="s">
        <v>15</v>
      </c>
      <c r="E1363" t="s">
        <v>17</v>
      </c>
      <c r="F1363" t="s">
        <v>23</v>
      </c>
      <c r="G1363">
        <v>31</v>
      </c>
      <c r="H1363" s="13">
        <v>47588</v>
      </c>
      <c r="I1363" s="13">
        <v>14524</v>
      </c>
      <c r="J1363" t="s">
        <v>25</v>
      </c>
      <c r="K1363" s="13">
        <f>HR_Data[[#This Row],[Salary]]+HR_Data[[#This Row],[Bonus]]</f>
        <v>62112</v>
      </c>
    </row>
    <row r="1364" spans="1:11" x14ac:dyDescent="0.25">
      <c r="A1364">
        <v>2363</v>
      </c>
      <c r="B1364" t="s">
        <v>1404</v>
      </c>
      <c r="C1364" t="s">
        <v>10</v>
      </c>
      <c r="D1364" t="s">
        <v>15</v>
      </c>
      <c r="E1364" t="s">
        <v>17</v>
      </c>
      <c r="F1364" t="s">
        <v>22</v>
      </c>
      <c r="G1364">
        <v>45</v>
      </c>
      <c r="H1364" s="13">
        <v>82576</v>
      </c>
      <c r="I1364" s="13">
        <v>20231</v>
      </c>
      <c r="J1364" t="s">
        <v>25</v>
      </c>
      <c r="K1364" s="13">
        <f>HR_Data[[#This Row],[Salary]]+HR_Data[[#This Row],[Bonus]]</f>
        <v>102807</v>
      </c>
    </row>
    <row r="1365" spans="1:11" x14ac:dyDescent="0.25">
      <c r="A1365">
        <v>2364</v>
      </c>
      <c r="B1365" t="s">
        <v>1405</v>
      </c>
      <c r="C1365" t="s">
        <v>9</v>
      </c>
      <c r="D1365" t="s">
        <v>15</v>
      </c>
      <c r="E1365" t="s">
        <v>20</v>
      </c>
      <c r="F1365" t="s">
        <v>23</v>
      </c>
      <c r="G1365">
        <v>42</v>
      </c>
      <c r="H1365" s="13">
        <v>108027</v>
      </c>
      <c r="I1365" s="13">
        <v>16698</v>
      </c>
      <c r="J1365" t="s">
        <v>25</v>
      </c>
      <c r="K1365" s="13">
        <f>HR_Data[[#This Row],[Salary]]+HR_Data[[#This Row],[Bonus]]</f>
        <v>124725</v>
      </c>
    </row>
    <row r="1366" spans="1:11" x14ac:dyDescent="0.25">
      <c r="A1366">
        <v>2365</v>
      </c>
      <c r="B1366" t="s">
        <v>1406</v>
      </c>
      <c r="C1366" t="s">
        <v>8</v>
      </c>
      <c r="D1366" t="s">
        <v>14</v>
      </c>
      <c r="E1366" t="s">
        <v>17</v>
      </c>
      <c r="F1366" t="s">
        <v>24</v>
      </c>
      <c r="G1366">
        <v>32</v>
      </c>
      <c r="H1366" s="13">
        <v>44188</v>
      </c>
      <c r="I1366" s="13">
        <v>15571</v>
      </c>
      <c r="J1366" t="s">
        <v>25</v>
      </c>
      <c r="K1366" s="13">
        <f>HR_Data[[#This Row],[Salary]]+HR_Data[[#This Row],[Bonus]]</f>
        <v>59759</v>
      </c>
    </row>
    <row r="1367" spans="1:11" x14ac:dyDescent="0.25">
      <c r="A1367">
        <v>2366</v>
      </c>
      <c r="B1367" t="s">
        <v>1407</v>
      </c>
      <c r="C1367" t="s">
        <v>8</v>
      </c>
      <c r="D1367" t="s">
        <v>15</v>
      </c>
      <c r="E1367" t="s">
        <v>19</v>
      </c>
      <c r="F1367" t="s">
        <v>23</v>
      </c>
      <c r="G1367">
        <v>48</v>
      </c>
      <c r="H1367" s="13">
        <v>112615</v>
      </c>
      <c r="I1367" s="13">
        <v>26175</v>
      </c>
      <c r="J1367" t="s">
        <v>25</v>
      </c>
      <c r="K1367" s="13">
        <f>HR_Data[[#This Row],[Salary]]+HR_Data[[#This Row],[Bonus]]</f>
        <v>138790</v>
      </c>
    </row>
    <row r="1368" spans="1:11" x14ac:dyDescent="0.25">
      <c r="A1368">
        <v>2367</v>
      </c>
      <c r="B1368" t="s">
        <v>1408</v>
      </c>
      <c r="C1368" t="s">
        <v>2042</v>
      </c>
      <c r="D1368" t="s">
        <v>14</v>
      </c>
      <c r="E1368" t="s">
        <v>18</v>
      </c>
      <c r="F1368" t="s">
        <v>23</v>
      </c>
      <c r="G1368">
        <v>37</v>
      </c>
      <c r="H1368" s="13">
        <v>78830</v>
      </c>
      <c r="I1368" s="13">
        <v>17314</v>
      </c>
      <c r="J1368" t="s">
        <v>26</v>
      </c>
      <c r="K1368" s="13">
        <f>HR_Data[[#This Row],[Salary]]+HR_Data[[#This Row],[Bonus]]</f>
        <v>96144</v>
      </c>
    </row>
    <row r="1369" spans="1:11" x14ac:dyDescent="0.25">
      <c r="A1369">
        <v>2368</v>
      </c>
      <c r="B1369" t="s">
        <v>1409</v>
      </c>
      <c r="C1369" t="s">
        <v>2042</v>
      </c>
      <c r="D1369" t="s">
        <v>14</v>
      </c>
      <c r="E1369" t="s">
        <v>16</v>
      </c>
      <c r="F1369" t="s">
        <v>23</v>
      </c>
      <c r="G1369">
        <v>47</v>
      </c>
      <c r="H1369" s="13">
        <v>24019</v>
      </c>
      <c r="I1369" s="13">
        <v>16429</v>
      </c>
      <c r="J1369" t="s">
        <v>26</v>
      </c>
      <c r="K1369" s="13">
        <f>HR_Data[[#This Row],[Salary]]+HR_Data[[#This Row],[Bonus]]</f>
        <v>40448</v>
      </c>
    </row>
    <row r="1370" spans="1:11" x14ac:dyDescent="0.25">
      <c r="A1370">
        <v>2369</v>
      </c>
      <c r="B1370" t="s">
        <v>1410</v>
      </c>
      <c r="C1370" t="s">
        <v>11</v>
      </c>
      <c r="D1370" t="s">
        <v>15</v>
      </c>
      <c r="E1370" t="s">
        <v>20</v>
      </c>
      <c r="F1370" t="s">
        <v>22</v>
      </c>
      <c r="G1370">
        <v>51</v>
      </c>
      <c r="H1370" s="13">
        <v>69554.53</v>
      </c>
      <c r="I1370" s="13">
        <v>7365</v>
      </c>
      <c r="J1370" t="s">
        <v>25</v>
      </c>
      <c r="K1370" s="13">
        <f>HR_Data[[#This Row],[Salary]]+HR_Data[[#This Row],[Bonus]]</f>
        <v>76919.53</v>
      </c>
    </row>
    <row r="1371" spans="1:11" x14ac:dyDescent="0.25">
      <c r="A1371">
        <v>2370</v>
      </c>
      <c r="B1371" t="s">
        <v>1411</v>
      </c>
      <c r="C1371" t="s">
        <v>11</v>
      </c>
      <c r="D1371" t="s">
        <v>15</v>
      </c>
      <c r="E1371" t="s">
        <v>17</v>
      </c>
      <c r="F1371" t="s">
        <v>24</v>
      </c>
      <c r="G1371">
        <v>37</v>
      </c>
      <c r="H1371" s="13">
        <v>53697</v>
      </c>
      <c r="I1371" s="13">
        <v>15604</v>
      </c>
      <c r="J1371" t="s">
        <v>26</v>
      </c>
      <c r="K1371" s="13">
        <f>HR_Data[[#This Row],[Salary]]+HR_Data[[#This Row],[Bonus]]</f>
        <v>69301</v>
      </c>
    </row>
    <row r="1372" spans="1:11" x14ac:dyDescent="0.25">
      <c r="A1372">
        <v>2371</v>
      </c>
      <c r="B1372" t="s">
        <v>1412</v>
      </c>
      <c r="C1372" t="s">
        <v>12</v>
      </c>
      <c r="D1372" t="s">
        <v>14</v>
      </c>
      <c r="E1372" t="s">
        <v>17</v>
      </c>
      <c r="F1372" t="s">
        <v>21</v>
      </c>
      <c r="G1372">
        <v>28</v>
      </c>
      <c r="H1372" s="13">
        <v>104932</v>
      </c>
      <c r="I1372" s="13">
        <v>16366</v>
      </c>
      <c r="J1372" t="s">
        <v>25</v>
      </c>
      <c r="K1372" s="13">
        <f>HR_Data[[#This Row],[Salary]]+HR_Data[[#This Row],[Bonus]]</f>
        <v>121298</v>
      </c>
    </row>
    <row r="1373" spans="1:11" x14ac:dyDescent="0.25">
      <c r="A1373">
        <v>2372</v>
      </c>
      <c r="B1373" t="s">
        <v>1413</v>
      </c>
      <c r="C1373" t="s">
        <v>10</v>
      </c>
      <c r="D1373" t="s">
        <v>14</v>
      </c>
      <c r="E1373" t="s">
        <v>18</v>
      </c>
      <c r="F1373" t="s">
        <v>22</v>
      </c>
      <c r="G1373">
        <v>37</v>
      </c>
      <c r="H1373" s="13">
        <v>115428</v>
      </c>
      <c r="I1373" s="13">
        <v>10055</v>
      </c>
      <c r="J1373" t="s">
        <v>25</v>
      </c>
      <c r="K1373" s="13">
        <f>HR_Data[[#This Row],[Salary]]+HR_Data[[#This Row],[Bonus]]</f>
        <v>125483</v>
      </c>
    </row>
    <row r="1374" spans="1:11" x14ac:dyDescent="0.25">
      <c r="A1374">
        <v>2373</v>
      </c>
      <c r="B1374" t="s">
        <v>1414</v>
      </c>
      <c r="C1374" t="s">
        <v>2042</v>
      </c>
      <c r="D1374" t="s">
        <v>15</v>
      </c>
      <c r="E1374" t="s">
        <v>18</v>
      </c>
      <c r="F1374" t="s">
        <v>21</v>
      </c>
      <c r="G1374">
        <v>56</v>
      </c>
      <c r="H1374" s="13">
        <v>27973</v>
      </c>
      <c r="I1374" s="13">
        <v>10622</v>
      </c>
      <c r="J1374" t="s">
        <v>25</v>
      </c>
      <c r="K1374" s="13">
        <f>HR_Data[[#This Row],[Salary]]+HR_Data[[#This Row],[Bonus]]</f>
        <v>38595</v>
      </c>
    </row>
    <row r="1375" spans="1:11" x14ac:dyDescent="0.25">
      <c r="A1375">
        <v>2374</v>
      </c>
      <c r="B1375" t="s">
        <v>1415</v>
      </c>
      <c r="C1375" t="s">
        <v>8</v>
      </c>
      <c r="D1375" t="s">
        <v>15</v>
      </c>
      <c r="E1375" t="s">
        <v>20</v>
      </c>
      <c r="F1375" t="s">
        <v>21</v>
      </c>
      <c r="G1375">
        <v>37</v>
      </c>
      <c r="H1375" s="13">
        <v>106649</v>
      </c>
      <c r="I1375" s="13">
        <v>21756</v>
      </c>
      <c r="J1375" t="s">
        <v>26</v>
      </c>
      <c r="K1375" s="13">
        <f>HR_Data[[#This Row],[Salary]]+HR_Data[[#This Row],[Bonus]]</f>
        <v>128405</v>
      </c>
    </row>
    <row r="1376" spans="1:11" x14ac:dyDescent="0.25">
      <c r="A1376">
        <v>2375</v>
      </c>
      <c r="B1376" t="s">
        <v>1416</v>
      </c>
      <c r="C1376" t="s">
        <v>9</v>
      </c>
      <c r="D1376" t="s">
        <v>14</v>
      </c>
      <c r="E1376" t="s">
        <v>16</v>
      </c>
      <c r="F1376" t="s">
        <v>22</v>
      </c>
      <c r="G1376">
        <v>33</v>
      </c>
      <c r="H1376" s="13">
        <v>31136</v>
      </c>
      <c r="I1376" s="13">
        <v>12783</v>
      </c>
      <c r="J1376" t="s">
        <v>25</v>
      </c>
      <c r="K1376" s="13">
        <f>HR_Data[[#This Row],[Salary]]+HR_Data[[#This Row],[Bonus]]</f>
        <v>43919</v>
      </c>
    </row>
    <row r="1377" spans="1:11" x14ac:dyDescent="0.25">
      <c r="A1377">
        <v>2376</v>
      </c>
      <c r="B1377" t="s">
        <v>1417</v>
      </c>
      <c r="C1377" t="s">
        <v>8</v>
      </c>
      <c r="D1377" t="s">
        <v>15</v>
      </c>
      <c r="E1377" t="s">
        <v>17</v>
      </c>
      <c r="F1377" t="s">
        <v>22</v>
      </c>
      <c r="G1377">
        <v>56</v>
      </c>
      <c r="H1377" s="13">
        <v>104739</v>
      </c>
      <c r="I1377" s="13">
        <v>6949</v>
      </c>
      <c r="J1377" t="s">
        <v>25</v>
      </c>
      <c r="K1377" s="13">
        <f>HR_Data[[#This Row],[Salary]]+HR_Data[[#This Row],[Bonus]]</f>
        <v>111688</v>
      </c>
    </row>
    <row r="1378" spans="1:11" x14ac:dyDescent="0.25">
      <c r="A1378">
        <v>2377</v>
      </c>
      <c r="B1378" t="s">
        <v>1418</v>
      </c>
      <c r="C1378" t="s">
        <v>10</v>
      </c>
      <c r="D1378" t="s">
        <v>15</v>
      </c>
      <c r="E1378" t="s">
        <v>20</v>
      </c>
      <c r="F1378" t="s">
        <v>24</v>
      </c>
      <c r="G1378">
        <v>42</v>
      </c>
      <c r="H1378" s="13">
        <v>82502</v>
      </c>
      <c r="I1378" s="13">
        <v>21628</v>
      </c>
      <c r="J1378" t="s">
        <v>25</v>
      </c>
      <c r="K1378" s="13">
        <f>HR_Data[[#This Row],[Salary]]+HR_Data[[#This Row],[Bonus]]</f>
        <v>104130</v>
      </c>
    </row>
    <row r="1379" spans="1:11" x14ac:dyDescent="0.25">
      <c r="A1379">
        <v>2378</v>
      </c>
      <c r="B1379" t="s">
        <v>1419</v>
      </c>
      <c r="C1379" t="s">
        <v>11</v>
      </c>
      <c r="D1379" t="s">
        <v>15</v>
      </c>
      <c r="E1379" t="s">
        <v>19</v>
      </c>
      <c r="F1379" t="s">
        <v>24</v>
      </c>
      <c r="G1379">
        <v>57</v>
      </c>
      <c r="H1379" s="13">
        <v>51285</v>
      </c>
      <c r="I1379" s="13">
        <v>15032</v>
      </c>
      <c r="J1379" t="s">
        <v>25</v>
      </c>
      <c r="K1379" s="13">
        <f>HR_Data[[#This Row],[Salary]]+HR_Data[[#This Row],[Bonus]]</f>
        <v>66317</v>
      </c>
    </row>
    <row r="1380" spans="1:11" x14ac:dyDescent="0.25">
      <c r="A1380">
        <v>2379</v>
      </c>
      <c r="B1380" t="s">
        <v>1420</v>
      </c>
      <c r="C1380" t="s">
        <v>8</v>
      </c>
      <c r="D1380" t="s">
        <v>14</v>
      </c>
      <c r="E1380" t="s">
        <v>19</v>
      </c>
      <c r="F1380" t="s">
        <v>23</v>
      </c>
      <c r="G1380">
        <v>38</v>
      </c>
      <c r="H1380" s="13">
        <v>43039</v>
      </c>
      <c r="I1380" s="13">
        <v>29179</v>
      </c>
      <c r="J1380" t="s">
        <v>25</v>
      </c>
      <c r="K1380" s="13">
        <f>HR_Data[[#This Row],[Salary]]+HR_Data[[#This Row],[Bonus]]</f>
        <v>72218</v>
      </c>
    </row>
    <row r="1381" spans="1:11" x14ac:dyDescent="0.25">
      <c r="A1381">
        <v>2380</v>
      </c>
      <c r="B1381" t="s">
        <v>1421</v>
      </c>
      <c r="C1381" t="s">
        <v>12</v>
      </c>
      <c r="D1381" t="s">
        <v>14</v>
      </c>
      <c r="E1381" t="s">
        <v>20</v>
      </c>
      <c r="F1381" t="s">
        <v>21</v>
      </c>
      <c r="G1381">
        <v>53</v>
      </c>
      <c r="H1381" s="13">
        <v>86720</v>
      </c>
      <c r="I1381" s="13">
        <v>27156</v>
      </c>
      <c r="J1381" t="s">
        <v>25</v>
      </c>
      <c r="K1381" s="13">
        <f>HR_Data[[#This Row],[Salary]]+HR_Data[[#This Row],[Bonus]]</f>
        <v>113876</v>
      </c>
    </row>
    <row r="1382" spans="1:11" x14ac:dyDescent="0.25">
      <c r="A1382">
        <v>2381</v>
      </c>
      <c r="B1382" t="s">
        <v>1422</v>
      </c>
      <c r="C1382" t="s">
        <v>10</v>
      </c>
      <c r="D1382" t="s">
        <v>14</v>
      </c>
      <c r="E1382" t="s">
        <v>17</v>
      </c>
      <c r="F1382" t="s">
        <v>24</v>
      </c>
      <c r="G1382">
        <v>27</v>
      </c>
      <c r="H1382" s="13">
        <v>108263</v>
      </c>
      <c r="I1382" s="13">
        <v>16619</v>
      </c>
      <c r="J1382" t="s">
        <v>25</v>
      </c>
      <c r="K1382" s="13">
        <f>HR_Data[[#This Row],[Salary]]+HR_Data[[#This Row],[Bonus]]</f>
        <v>124882</v>
      </c>
    </row>
    <row r="1383" spans="1:11" x14ac:dyDescent="0.25">
      <c r="A1383">
        <v>2382</v>
      </c>
      <c r="B1383" t="s">
        <v>1423</v>
      </c>
      <c r="C1383" t="s">
        <v>27</v>
      </c>
      <c r="D1383" t="s">
        <v>15</v>
      </c>
      <c r="E1383" t="s">
        <v>20</v>
      </c>
      <c r="F1383" t="s">
        <v>23</v>
      </c>
      <c r="G1383">
        <v>45</v>
      </c>
      <c r="H1383" s="13">
        <v>79155</v>
      </c>
      <c r="I1383" s="13">
        <v>21508</v>
      </c>
      <c r="J1383" t="s">
        <v>25</v>
      </c>
      <c r="K1383" s="13">
        <f>HR_Data[[#This Row],[Salary]]+HR_Data[[#This Row],[Bonus]]</f>
        <v>100663</v>
      </c>
    </row>
    <row r="1384" spans="1:11" x14ac:dyDescent="0.25">
      <c r="A1384">
        <v>2383</v>
      </c>
      <c r="B1384" t="s">
        <v>1424</v>
      </c>
      <c r="C1384" t="s">
        <v>9</v>
      </c>
      <c r="D1384" t="s">
        <v>15</v>
      </c>
      <c r="E1384" t="s">
        <v>17</v>
      </c>
      <c r="F1384" t="s">
        <v>24</v>
      </c>
      <c r="G1384">
        <v>48</v>
      </c>
      <c r="H1384" s="13">
        <v>69554.53</v>
      </c>
      <c r="I1384" s="13">
        <v>17824</v>
      </c>
      <c r="J1384" t="s">
        <v>25</v>
      </c>
      <c r="K1384" s="13">
        <f>HR_Data[[#This Row],[Salary]]+HR_Data[[#This Row],[Bonus]]</f>
        <v>87378.53</v>
      </c>
    </row>
    <row r="1385" spans="1:11" x14ac:dyDescent="0.25">
      <c r="A1385">
        <v>2384</v>
      </c>
      <c r="B1385" t="s">
        <v>1425</v>
      </c>
      <c r="C1385" t="s">
        <v>11</v>
      </c>
      <c r="D1385" t="s">
        <v>14</v>
      </c>
      <c r="E1385" t="s">
        <v>18</v>
      </c>
      <c r="F1385" t="s">
        <v>22</v>
      </c>
      <c r="G1385">
        <v>41</v>
      </c>
      <c r="H1385" s="13">
        <v>20916</v>
      </c>
      <c r="I1385" s="13">
        <v>15945</v>
      </c>
      <c r="J1385" t="s">
        <v>25</v>
      </c>
      <c r="K1385" s="13">
        <f>HR_Data[[#This Row],[Salary]]+HR_Data[[#This Row],[Bonus]]</f>
        <v>36861</v>
      </c>
    </row>
    <row r="1386" spans="1:11" x14ac:dyDescent="0.25">
      <c r="A1386">
        <v>2385</v>
      </c>
      <c r="B1386" t="s">
        <v>1426</v>
      </c>
      <c r="C1386" t="s">
        <v>12</v>
      </c>
      <c r="D1386" t="s">
        <v>14</v>
      </c>
      <c r="E1386" t="s">
        <v>20</v>
      </c>
      <c r="F1386" t="s">
        <v>24</v>
      </c>
      <c r="G1386">
        <v>46</v>
      </c>
      <c r="H1386" s="13">
        <v>79052</v>
      </c>
      <c r="I1386" s="13">
        <v>6919</v>
      </c>
      <c r="J1386" t="s">
        <v>25</v>
      </c>
      <c r="K1386" s="13">
        <f>HR_Data[[#This Row],[Salary]]+HR_Data[[#This Row],[Bonus]]</f>
        <v>85971</v>
      </c>
    </row>
    <row r="1387" spans="1:11" x14ac:dyDescent="0.25">
      <c r="A1387">
        <v>2386</v>
      </c>
      <c r="B1387" t="s">
        <v>1427</v>
      </c>
      <c r="C1387" t="s">
        <v>27</v>
      </c>
      <c r="D1387" t="s">
        <v>14</v>
      </c>
      <c r="E1387" t="s">
        <v>17</v>
      </c>
      <c r="F1387" t="s">
        <v>21</v>
      </c>
      <c r="G1387">
        <v>23</v>
      </c>
      <c r="H1387" s="13">
        <v>89110</v>
      </c>
      <c r="I1387" s="13">
        <v>14827</v>
      </c>
      <c r="J1387" t="s">
        <v>26</v>
      </c>
      <c r="K1387" s="13">
        <f>HR_Data[[#This Row],[Salary]]+HR_Data[[#This Row],[Bonus]]</f>
        <v>103937</v>
      </c>
    </row>
    <row r="1388" spans="1:11" x14ac:dyDescent="0.25">
      <c r="A1388">
        <v>2387</v>
      </c>
      <c r="B1388" t="s">
        <v>1428</v>
      </c>
      <c r="C1388" t="s">
        <v>9</v>
      </c>
      <c r="D1388" t="s">
        <v>15</v>
      </c>
      <c r="E1388" t="s">
        <v>20</v>
      </c>
      <c r="F1388" t="s">
        <v>24</v>
      </c>
      <c r="G1388">
        <v>30</v>
      </c>
      <c r="H1388" s="13">
        <v>37790</v>
      </c>
      <c r="I1388" s="13">
        <v>14617</v>
      </c>
      <c r="J1388" t="s">
        <v>25</v>
      </c>
      <c r="K1388" s="13">
        <f>HR_Data[[#This Row],[Salary]]+HR_Data[[#This Row],[Bonus]]</f>
        <v>52407</v>
      </c>
    </row>
    <row r="1389" spans="1:11" x14ac:dyDescent="0.25">
      <c r="A1389">
        <v>2388</v>
      </c>
      <c r="B1389" t="s">
        <v>1429</v>
      </c>
      <c r="C1389" t="s">
        <v>12</v>
      </c>
      <c r="D1389" t="s">
        <v>14</v>
      </c>
      <c r="E1389" t="s">
        <v>20</v>
      </c>
      <c r="F1389" t="s">
        <v>21</v>
      </c>
      <c r="G1389">
        <v>49</v>
      </c>
      <c r="H1389" s="13">
        <v>103161</v>
      </c>
      <c r="I1389" s="13">
        <v>14732</v>
      </c>
      <c r="J1389" t="s">
        <v>25</v>
      </c>
      <c r="K1389" s="13">
        <f>HR_Data[[#This Row],[Salary]]+HR_Data[[#This Row],[Bonus]]</f>
        <v>117893</v>
      </c>
    </row>
    <row r="1390" spans="1:11" x14ac:dyDescent="0.25">
      <c r="A1390">
        <v>2389</v>
      </c>
      <c r="B1390" t="s">
        <v>1430</v>
      </c>
      <c r="C1390" t="s">
        <v>11</v>
      </c>
      <c r="D1390" t="s">
        <v>14</v>
      </c>
      <c r="E1390" t="s">
        <v>17</v>
      </c>
      <c r="F1390" t="s">
        <v>22</v>
      </c>
      <c r="G1390">
        <v>59</v>
      </c>
      <c r="H1390" s="13">
        <v>25206</v>
      </c>
      <c r="I1390" s="13">
        <v>5530</v>
      </c>
      <c r="J1390" t="s">
        <v>25</v>
      </c>
      <c r="K1390" s="13">
        <f>HR_Data[[#This Row],[Salary]]+HR_Data[[#This Row],[Bonus]]</f>
        <v>30736</v>
      </c>
    </row>
    <row r="1391" spans="1:11" x14ac:dyDescent="0.25">
      <c r="A1391">
        <v>2390</v>
      </c>
      <c r="B1391" t="s">
        <v>1431</v>
      </c>
      <c r="C1391" t="s">
        <v>12</v>
      </c>
      <c r="D1391" t="s">
        <v>15</v>
      </c>
      <c r="E1391" t="s">
        <v>17</v>
      </c>
      <c r="F1391" t="s">
        <v>21</v>
      </c>
      <c r="G1391">
        <v>24</v>
      </c>
      <c r="H1391" s="13">
        <v>105053</v>
      </c>
      <c r="I1391" s="13">
        <v>12849</v>
      </c>
      <c r="J1391" t="s">
        <v>25</v>
      </c>
      <c r="K1391" s="13">
        <f>HR_Data[[#This Row],[Salary]]+HR_Data[[#This Row],[Bonus]]</f>
        <v>117902</v>
      </c>
    </row>
    <row r="1392" spans="1:11" x14ac:dyDescent="0.25">
      <c r="A1392">
        <v>2391</v>
      </c>
      <c r="B1392" t="s">
        <v>1432</v>
      </c>
      <c r="C1392" t="s">
        <v>10</v>
      </c>
      <c r="D1392" t="s">
        <v>15</v>
      </c>
      <c r="E1392" t="s">
        <v>16</v>
      </c>
      <c r="F1392" t="s">
        <v>24</v>
      </c>
      <c r="G1392">
        <v>41</v>
      </c>
      <c r="H1392" s="13">
        <v>69950</v>
      </c>
      <c r="I1392" s="13">
        <v>11929</v>
      </c>
      <c r="J1392" t="s">
        <v>25</v>
      </c>
      <c r="K1392" s="13">
        <f>HR_Data[[#This Row],[Salary]]+HR_Data[[#This Row],[Bonus]]</f>
        <v>81879</v>
      </c>
    </row>
    <row r="1393" spans="1:11" x14ac:dyDescent="0.25">
      <c r="A1393">
        <v>2392</v>
      </c>
      <c r="B1393" t="s">
        <v>1433</v>
      </c>
      <c r="C1393" t="s">
        <v>2042</v>
      </c>
      <c r="D1393" t="s">
        <v>15</v>
      </c>
      <c r="E1393" t="s">
        <v>20</v>
      </c>
      <c r="F1393" t="s">
        <v>23</v>
      </c>
      <c r="G1393">
        <v>27</v>
      </c>
      <c r="H1393" s="13">
        <v>76361</v>
      </c>
      <c r="I1393" s="13">
        <v>9349</v>
      </c>
      <c r="J1393" t="s">
        <v>25</v>
      </c>
      <c r="K1393" s="13">
        <f>HR_Data[[#This Row],[Salary]]+HR_Data[[#This Row],[Bonus]]</f>
        <v>85710</v>
      </c>
    </row>
    <row r="1394" spans="1:11" x14ac:dyDescent="0.25">
      <c r="A1394">
        <v>2393</v>
      </c>
      <c r="B1394" t="s">
        <v>1434</v>
      </c>
      <c r="C1394" t="s">
        <v>12</v>
      </c>
      <c r="D1394" t="s">
        <v>14</v>
      </c>
      <c r="E1394" t="s">
        <v>19</v>
      </c>
      <c r="F1394" t="s">
        <v>22</v>
      </c>
      <c r="G1394">
        <v>54</v>
      </c>
      <c r="H1394" s="13">
        <v>81451</v>
      </c>
      <c r="I1394" s="13">
        <v>19456</v>
      </c>
      <c r="J1394" t="s">
        <v>25</v>
      </c>
      <c r="K1394" s="13">
        <f>HR_Data[[#This Row],[Salary]]+HR_Data[[#This Row],[Bonus]]</f>
        <v>100907</v>
      </c>
    </row>
    <row r="1395" spans="1:11" x14ac:dyDescent="0.25">
      <c r="A1395">
        <v>2394</v>
      </c>
      <c r="B1395" t="s">
        <v>1435</v>
      </c>
      <c r="C1395" t="s">
        <v>12</v>
      </c>
      <c r="D1395" t="s">
        <v>15</v>
      </c>
      <c r="E1395" t="s">
        <v>20</v>
      </c>
      <c r="F1395" t="s">
        <v>24</v>
      </c>
      <c r="G1395">
        <v>22</v>
      </c>
      <c r="H1395" s="13">
        <v>57696</v>
      </c>
      <c r="I1395" s="13">
        <v>16295</v>
      </c>
      <c r="J1395" t="s">
        <v>27</v>
      </c>
      <c r="K1395" s="13">
        <f>HR_Data[[#This Row],[Salary]]+HR_Data[[#This Row],[Bonus]]</f>
        <v>73991</v>
      </c>
    </row>
    <row r="1396" spans="1:11" x14ac:dyDescent="0.25">
      <c r="A1396">
        <v>2395</v>
      </c>
      <c r="B1396" t="s">
        <v>1436</v>
      </c>
      <c r="C1396" t="s">
        <v>11</v>
      </c>
      <c r="D1396" t="s">
        <v>15</v>
      </c>
      <c r="E1396" t="s">
        <v>20</v>
      </c>
      <c r="F1396" t="s">
        <v>22</v>
      </c>
      <c r="G1396">
        <v>58</v>
      </c>
      <c r="H1396" s="13">
        <v>101641</v>
      </c>
      <c r="I1396" s="13">
        <v>26140</v>
      </c>
      <c r="J1396" t="s">
        <v>25</v>
      </c>
      <c r="K1396" s="13">
        <f>HR_Data[[#This Row],[Salary]]+HR_Data[[#This Row],[Bonus]]</f>
        <v>127781</v>
      </c>
    </row>
    <row r="1397" spans="1:11" x14ac:dyDescent="0.25">
      <c r="A1397">
        <v>2396</v>
      </c>
      <c r="B1397" t="s">
        <v>1437</v>
      </c>
      <c r="C1397" t="s">
        <v>11</v>
      </c>
      <c r="D1397" t="s">
        <v>14</v>
      </c>
      <c r="E1397" t="s">
        <v>17</v>
      </c>
      <c r="F1397" t="s">
        <v>22</v>
      </c>
      <c r="G1397">
        <v>27</v>
      </c>
      <c r="H1397" s="13">
        <v>88226</v>
      </c>
      <c r="I1397" s="13">
        <v>23185</v>
      </c>
      <c r="J1397" t="s">
        <v>25</v>
      </c>
      <c r="K1397" s="13">
        <f>HR_Data[[#This Row],[Salary]]+HR_Data[[#This Row],[Bonus]]</f>
        <v>111411</v>
      </c>
    </row>
    <row r="1398" spans="1:11" x14ac:dyDescent="0.25">
      <c r="A1398">
        <v>2397</v>
      </c>
      <c r="B1398" t="s">
        <v>1438</v>
      </c>
      <c r="C1398" t="s">
        <v>9</v>
      </c>
      <c r="D1398" t="s">
        <v>15</v>
      </c>
      <c r="E1398" t="s">
        <v>20</v>
      </c>
      <c r="F1398" t="s">
        <v>24</v>
      </c>
      <c r="G1398">
        <v>55</v>
      </c>
      <c r="H1398" s="13">
        <v>66728</v>
      </c>
      <c r="I1398" s="13">
        <v>10156</v>
      </c>
      <c r="J1398" t="s">
        <v>25</v>
      </c>
      <c r="K1398" s="13">
        <f>HR_Data[[#This Row],[Salary]]+HR_Data[[#This Row],[Bonus]]</f>
        <v>76884</v>
      </c>
    </row>
    <row r="1399" spans="1:11" x14ac:dyDescent="0.25">
      <c r="A1399">
        <v>2398</v>
      </c>
      <c r="B1399" t="s">
        <v>1439</v>
      </c>
      <c r="C1399" t="s">
        <v>11</v>
      </c>
      <c r="D1399" t="s">
        <v>14</v>
      </c>
      <c r="E1399" t="s">
        <v>20</v>
      </c>
      <c r="F1399" t="s">
        <v>24</v>
      </c>
      <c r="G1399">
        <v>36</v>
      </c>
      <c r="H1399" s="13">
        <v>75401</v>
      </c>
      <c r="I1399" s="13">
        <v>29240</v>
      </c>
      <c r="J1399" t="s">
        <v>25</v>
      </c>
      <c r="K1399" s="13">
        <f>HR_Data[[#This Row],[Salary]]+HR_Data[[#This Row],[Bonus]]</f>
        <v>104641</v>
      </c>
    </row>
    <row r="1400" spans="1:11" x14ac:dyDescent="0.25">
      <c r="A1400">
        <v>2399</v>
      </c>
      <c r="B1400" t="s">
        <v>1440</v>
      </c>
      <c r="C1400" t="s">
        <v>8</v>
      </c>
      <c r="D1400" t="s">
        <v>14</v>
      </c>
      <c r="E1400" t="s">
        <v>19</v>
      </c>
      <c r="F1400" t="s">
        <v>23</v>
      </c>
      <c r="G1400">
        <v>47</v>
      </c>
      <c r="H1400" s="13">
        <v>86226</v>
      </c>
      <c r="I1400" s="13">
        <v>26845</v>
      </c>
      <c r="J1400" t="s">
        <v>25</v>
      </c>
      <c r="K1400" s="13">
        <f>HR_Data[[#This Row],[Salary]]+HR_Data[[#This Row],[Bonus]]</f>
        <v>113071</v>
      </c>
    </row>
    <row r="1401" spans="1:11" x14ac:dyDescent="0.25">
      <c r="A1401">
        <v>2400</v>
      </c>
      <c r="B1401" t="s">
        <v>1441</v>
      </c>
      <c r="C1401" t="s">
        <v>10</v>
      </c>
      <c r="D1401" t="s">
        <v>15</v>
      </c>
      <c r="E1401" t="s">
        <v>17</v>
      </c>
      <c r="F1401" t="s">
        <v>22</v>
      </c>
      <c r="G1401">
        <v>35</v>
      </c>
      <c r="H1401" s="13">
        <v>45103</v>
      </c>
      <c r="I1401" s="13">
        <v>14228</v>
      </c>
      <c r="J1401" t="s">
        <v>25</v>
      </c>
      <c r="K1401" s="13">
        <f>HR_Data[[#This Row],[Salary]]+HR_Data[[#This Row],[Bonus]]</f>
        <v>59331</v>
      </c>
    </row>
    <row r="1402" spans="1:11" x14ac:dyDescent="0.25">
      <c r="A1402">
        <v>2401</v>
      </c>
      <c r="B1402" t="s">
        <v>1442</v>
      </c>
      <c r="C1402" t="s">
        <v>10</v>
      </c>
      <c r="D1402" t="s">
        <v>15</v>
      </c>
      <c r="E1402" t="s">
        <v>20</v>
      </c>
      <c r="F1402" t="s">
        <v>22</v>
      </c>
      <c r="G1402">
        <v>28</v>
      </c>
      <c r="H1402" s="13">
        <v>54263</v>
      </c>
      <c r="I1402" s="13">
        <v>26686</v>
      </c>
      <c r="J1402" t="s">
        <v>25</v>
      </c>
      <c r="K1402" s="13">
        <f>HR_Data[[#This Row],[Salary]]+HR_Data[[#This Row],[Bonus]]</f>
        <v>80949</v>
      </c>
    </row>
    <row r="1403" spans="1:11" x14ac:dyDescent="0.25">
      <c r="A1403">
        <v>2402</v>
      </c>
      <c r="B1403" t="s">
        <v>1443</v>
      </c>
      <c r="C1403" t="s">
        <v>2042</v>
      </c>
      <c r="D1403" t="s">
        <v>15</v>
      </c>
      <c r="E1403" t="s">
        <v>18</v>
      </c>
      <c r="F1403" t="s">
        <v>24</v>
      </c>
      <c r="G1403">
        <v>52</v>
      </c>
      <c r="H1403" s="13">
        <v>96621</v>
      </c>
      <c r="I1403" s="13">
        <v>16920</v>
      </c>
      <c r="J1403" t="s">
        <v>26</v>
      </c>
      <c r="K1403" s="13">
        <f>HR_Data[[#This Row],[Salary]]+HR_Data[[#This Row],[Bonus]]</f>
        <v>113541</v>
      </c>
    </row>
    <row r="1404" spans="1:11" x14ac:dyDescent="0.25">
      <c r="A1404">
        <v>2403</v>
      </c>
      <c r="B1404" t="s">
        <v>1444</v>
      </c>
      <c r="C1404" t="s">
        <v>2042</v>
      </c>
      <c r="D1404" t="s">
        <v>15</v>
      </c>
      <c r="E1404" t="s">
        <v>16</v>
      </c>
      <c r="F1404" t="s">
        <v>21</v>
      </c>
      <c r="G1404">
        <v>45</v>
      </c>
      <c r="H1404" s="13">
        <v>70044</v>
      </c>
      <c r="I1404" s="13">
        <v>12432</v>
      </c>
      <c r="J1404" t="s">
        <v>25</v>
      </c>
      <c r="K1404" s="13">
        <f>HR_Data[[#This Row],[Salary]]+HR_Data[[#This Row],[Bonus]]</f>
        <v>82476</v>
      </c>
    </row>
    <row r="1405" spans="1:11" x14ac:dyDescent="0.25">
      <c r="A1405">
        <v>2404</v>
      </c>
      <c r="B1405" t="s">
        <v>1445</v>
      </c>
      <c r="C1405" t="s">
        <v>10</v>
      </c>
      <c r="D1405" t="s">
        <v>15</v>
      </c>
      <c r="E1405" t="s">
        <v>19</v>
      </c>
      <c r="F1405" t="s">
        <v>24</v>
      </c>
      <c r="G1405">
        <v>52</v>
      </c>
      <c r="H1405" s="13">
        <v>77730</v>
      </c>
      <c r="I1405" s="13">
        <v>17203</v>
      </c>
      <c r="J1405" t="s">
        <v>25</v>
      </c>
      <c r="K1405" s="13">
        <f>HR_Data[[#This Row],[Salary]]+HR_Data[[#This Row],[Bonus]]</f>
        <v>94933</v>
      </c>
    </row>
    <row r="1406" spans="1:11" x14ac:dyDescent="0.25">
      <c r="A1406">
        <v>2405</v>
      </c>
      <c r="B1406" t="s">
        <v>1446</v>
      </c>
      <c r="C1406" t="s">
        <v>2042</v>
      </c>
      <c r="D1406" t="s">
        <v>15</v>
      </c>
      <c r="E1406" t="s">
        <v>20</v>
      </c>
      <c r="F1406" t="s">
        <v>22</v>
      </c>
      <c r="G1406">
        <v>50</v>
      </c>
      <c r="H1406" s="13">
        <v>45825</v>
      </c>
      <c r="I1406" s="13">
        <v>11189</v>
      </c>
      <c r="J1406" t="s">
        <v>25</v>
      </c>
      <c r="K1406" s="13">
        <f>HR_Data[[#This Row],[Salary]]+HR_Data[[#This Row],[Bonus]]</f>
        <v>57014</v>
      </c>
    </row>
    <row r="1407" spans="1:11" x14ac:dyDescent="0.25">
      <c r="A1407">
        <v>2406</v>
      </c>
      <c r="B1407" t="s">
        <v>1447</v>
      </c>
      <c r="C1407" t="s">
        <v>9</v>
      </c>
      <c r="D1407" t="s">
        <v>14</v>
      </c>
      <c r="E1407" t="s">
        <v>18</v>
      </c>
      <c r="F1407" t="s">
        <v>24</v>
      </c>
      <c r="G1407">
        <v>53</v>
      </c>
      <c r="H1407" s="13">
        <v>96256</v>
      </c>
      <c r="I1407" s="13">
        <v>6142</v>
      </c>
      <c r="J1407" t="s">
        <v>25</v>
      </c>
      <c r="K1407" s="13">
        <f>HR_Data[[#This Row],[Salary]]+HR_Data[[#This Row],[Bonus]]</f>
        <v>102398</v>
      </c>
    </row>
    <row r="1408" spans="1:11" x14ac:dyDescent="0.25">
      <c r="A1408">
        <v>2407</v>
      </c>
      <c r="B1408" t="s">
        <v>1448</v>
      </c>
      <c r="C1408" t="s">
        <v>11</v>
      </c>
      <c r="D1408" t="s">
        <v>14</v>
      </c>
      <c r="E1408" t="s">
        <v>20</v>
      </c>
      <c r="F1408" t="s">
        <v>23</v>
      </c>
      <c r="G1408">
        <v>38</v>
      </c>
      <c r="H1408" s="13">
        <v>57271</v>
      </c>
      <c r="I1408" s="13">
        <v>28460</v>
      </c>
      <c r="J1408" t="s">
        <v>25</v>
      </c>
      <c r="K1408" s="13">
        <f>HR_Data[[#This Row],[Salary]]+HR_Data[[#This Row],[Bonus]]</f>
        <v>85731</v>
      </c>
    </row>
    <row r="1409" spans="1:11" x14ac:dyDescent="0.25">
      <c r="A1409">
        <v>2408</v>
      </c>
      <c r="B1409" t="s">
        <v>1449</v>
      </c>
      <c r="C1409" t="s">
        <v>10</v>
      </c>
      <c r="D1409" t="s">
        <v>15</v>
      </c>
      <c r="E1409" t="s">
        <v>20</v>
      </c>
      <c r="F1409" t="s">
        <v>21</v>
      </c>
      <c r="G1409">
        <v>35</v>
      </c>
      <c r="H1409" s="13">
        <v>97256</v>
      </c>
      <c r="I1409" s="13">
        <v>12614</v>
      </c>
      <c r="J1409" t="s">
        <v>25</v>
      </c>
      <c r="K1409" s="13">
        <f>HR_Data[[#This Row],[Salary]]+HR_Data[[#This Row],[Bonus]]</f>
        <v>109870</v>
      </c>
    </row>
    <row r="1410" spans="1:11" x14ac:dyDescent="0.25">
      <c r="A1410">
        <v>2409</v>
      </c>
      <c r="B1410" t="s">
        <v>1450</v>
      </c>
      <c r="C1410" t="s">
        <v>2042</v>
      </c>
      <c r="D1410" t="s">
        <v>14</v>
      </c>
      <c r="E1410" t="s">
        <v>17</v>
      </c>
      <c r="F1410" t="s">
        <v>24</v>
      </c>
      <c r="G1410">
        <v>57</v>
      </c>
      <c r="H1410" s="13">
        <v>66732</v>
      </c>
      <c r="I1410" s="13">
        <v>19253</v>
      </c>
      <c r="J1410" t="s">
        <v>25</v>
      </c>
      <c r="K1410" s="13">
        <f>HR_Data[[#This Row],[Salary]]+HR_Data[[#This Row],[Bonus]]</f>
        <v>85985</v>
      </c>
    </row>
    <row r="1411" spans="1:11" x14ac:dyDescent="0.25">
      <c r="A1411">
        <v>2410</v>
      </c>
      <c r="B1411" t="s">
        <v>1451</v>
      </c>
      <c r="C1411" t="s">
        <v>10</v>
      </c>
      <c r="D1411" t="s">
        <v>15</v>
      </c>
      <c r="E1411" t="s">
        <v>17</v>
      </c>
      <c r="F1411" t="s">
        <v>23</v>
      </c>
      <c r="G1411">
        <v>45</v>
      </c>
      <c r="H1411" s="13">
        <v>86433</v>
      </c>
      <c r="I1411" s="13">
        <v>26224</v>
      </c>
      <c r="J1411" t="s">
        <v>25</v>
      </c>
      <c r="K1411" s="13">
        <f>HR_Data[[#This Row],[Salary]]+HR_Data[[#This Row],[Bonus]]</f>
        <v>112657</v>
      </c>
    </row>
    <row r="1412" spans="1:11" x14ac:dyDescent="0.25">
      <c r="A1412">
        <v>2411</v>
      </c>
      <c r="B1412" t="s">
        <v>1452</v>
      </c>
      <c r="C1412" t="s">
        <v>8</v>
      </c>
      <c r="D1412" t="s">
        <v>14</v>
      </c>
      <c r="E1412" t="s">
        <v>17</v>
      </c>
      <c r="F1412" t="s">
        <v>22</v>
      </c>
      <c r="G1412">
        <v>48</v>
      </c>
      <c r="H1412" s="13">
        <v>102630</v>
      </c>
      <c r="I1412" s="13">
        <v>23013</v>
      </c>
      <c r="J1412" t="s">
        <v>25</v>
      </c>
      <c r="K1412" s="13">
        <f>HR_Data[[#This Row],[Salary]]+HR_Data[[#This Row],[Bonus]]</f>
        <v>125643</v>
      </c>
    </row>
    <row r="1413" spans="1:11" x14ac:dyDescent="0.25">
      <c r="A1413">
        <v>2412</v>
      </c>
      <c r="B1413" t="s">
        <v>1453</v>
      </c>
      <c r="C1413" t="s">
        <v>12</v>
      </c>
      <c r="D1413" t="s">
        <v>14</v>
      </c>
      <c r="E1413" t="s">
        <v>18</v>
      </c>
      <c r="F1413" t="s">
        <v>24</v>
      </c>
      <c r="G1413">
        <v>46</v>
      </c>
      <c r="H1413" s="13">
        <v>43572</v>
      </c>
      <c r="I1413" s="13">
        <v>26446</v>
      </c>
      <c r="J1413" t="s">
        <v>25</v>
      </c>
      <c r="K1413" s="13">
        <f>HR_Data[[#This Row],[Salary]]+HR_Data[[#This Row],[Bonus]]</f>
        <v>70018</v>
      </c>
    </row>
    <row r="1414" spans="1:11" x14ac:dyDescent="0.25">
      <c r="A1414">
        <v>2413</v>
      </c>
      <c r="B1414" t="s">
        <v>1454</v>
      </c>
      <c r="C1414" t="s">
        <v>11</v>
      </c>
      <c r="D1414" t="s">
        <v>14</v>
      </c>
      <c r="E1414" t="s">
        <v>20</v>
      </c>
      <c r="F1414" t="s">
        <v>22</v>
      </c>
      <c r="G1414">
        <v>53</v>
      </c>
      <c r="H1414" s="13">
        <v>58546</v>
      </c>
      <c r="I1414" s="13">
        <v>22146</v>
      </c>
      <c r="J1414" t="s">
        <v>25</v>
      </c>
      <c r="K1414" s="13">
        <f>HR_Data[[#This Row],[Salary]]+HR_Data[[#This Row],[Bonus]]</f>
        <v>80692</v>
      </c>
    </row>
    <row r="1415" spans="1:11" x14ac:dyDescent="0.25">
      <c r="A1415">
        <v>2414</v>
      </c>
      <c r="B1415" t="s">
        <v>1455</v>
      </c>
      <c r="C1415" t="s">
        <v>10</v>
      </c>
      <c r="D1415" t="s">
        <v>15</v>
      </c>
      <c r="E1415" t="s">
        <v>16</v>
      </c>
      <c r="F1415" t="s">
        <v>23</v>
      </c>
      <c r="G1415">
        <v>39</v>
      </c>
      <c r="H1415" s="13">
        <v>35150</v>
      </c>
      <c r="I1415" s="13">
        <v>11905</v>
      </c>
      <c r="J1415" t="s">
        <v>26</v>
      </c>
      <c r="K1415" s="13">
        <f>HR_Data[[#This Row],[Salary]]+HR_Data[[#This Row],[Bonus]]</f>
        <v>47055</v>
      </c>
    </row>
    <row r="1416" spans="1:11" x14ac:dyDescent="0.25">
      <c r="A1416">
        <v>2415</v>
      </c>
      <c r="B1416" t="s">
        <v>1456</v>
      </c>
      <c r="C1416" t="s">
        <v>12</v>
      </c>
      <c r="D1416" t="s">
        <v>14</v>
      </c>
      <c r="E1416" t="s">
        <v>19</v>
      </c>
      <c r="F1416" t="s">
        <v>22</v>
      </c>
      <c r="G1416">
        <v>39</v>
      </c>
      <c r="H1416" s="13">
        <v>74165</v>
      </c>
      <c r="I1416" s="13">
        <v>9889</v>
      </c>
      <c r="J1416" t="s">
        <v>25</v>
      </c>
      <c r="K1416" s="13">
        <f>HR_Data[[#This Row],[Salary]]+HR_Data[[#This Row],[Bonus]]</f>
        <v>84054</v>
      </c>
    </row>
    <row r="1417" spans="1:11" x14ac:dyDescent="0.25">
      <c r="A1417">
        <v>2416</v>
      </c>
      <c r="B1417" t="s">
        <v>1457</v>
      </c>
      <c r="C1417" t="s">
        <v>2042</v>
      </c>
      <c r="D1417" t="s">
        <v>15</v>
      </c>
      <c r="E1417" t="s">
        <v>17</v>
      </c>
      <c r="F1417" t="s">
        <v>23</v>
      </c>
      <c r="G1417">
        <v>58</v>
      </c>
      <c r="H1417" s="13">
        <v>83690</v>
      </c>
      <c r="I1417" s="13">
        <v>9839</v>
      </c>
      <c r="J1417" t="s">
        <v>25</v>
      </c>
      <c r="K1417" s="13">
        <f>HR_Data[[#This Row],[Salary]]+HR_Data[[#This Row],[Bonus]]</f>
        <v>93529</v>
      </c>
    </row>
    <row r="1418" spans="1:11" x14ac:dyDescent="0.25">
      <c r="A1418">
        <v>2417</v>
      </c>
      <c r="B1418" t="s">
        <v>1458</v>
      </c>
      <c r="C1418" t="s">
        <v>12</v>
      </c>
      <c r="D1418" t="s">
        <v>14</v>
      </c>
      <c r="E1418" t="s">
        <v>17</v>
      </c>
      <c r="F1418" t="s">
        <v>23</v>
      </c>
      <c r="G1418">
        <v>47</v>
      </c>
      <c r="H1418" s="13">
        <v>73664</v>
      </c>
      <c r="I1418" s="13">
        <v>8957</v>
      </c>
      <c r="J1418" t="s">
        <v>25</v>
      </c>
      <c r="K1418" s="13">
        <f>HR_Data[[#This Row],[Salary]]+HR_Data[[#This Row],[Bonus]]</f>
        <v>82621</v>
      </c>
    </row>
    <row r="1419" spans="1:11" x14ac:dyDescent="0.25">
      <c r="A1419">
        <v>2418</v>
      </c>
      <c r="B1419" t="s">
        <v>1459</v>
      </c>
      <c r="C1419" t="s">
        <v>11</v>
      </c>
      <c r="D1419" t="s">
        <v>14</v>
      </c>
      <c r="E1419" t="s">
        <v>20</v>
      </c>
      <c r="F1419" t="s">
        <v>23</v>
      </c>
      <c r="G1419">
        <v>30</v>
      </c>
      <c r="H1419" s="13">
        <v>102335</v>
      </c>
      <c r="I1419" s="13">
        <v>5557</v>
      </c>
      <c r="J1419" t="s">
        <v>25</v>
      </c>
      <c r="K1419" s="13">
        <f>HR_Data[[#This Row],[Salary]]+HR_Data[[#This Row],[Bonus]]</f>
        <v>107892</v>
      </c>
    </row>
    <row r="1420" spans="1:11" x14ac:dyDescent="0.25">
      <c r="A1420">
        <v>2419</v>
      </c>
      <c r="B1420" t="s">
        <v>1460</v>
      </c>
      <c r="C1420" t="s">
        <v>10</v>
      </c>
      <c r="D1420" t="s">
        <v>14</v>
      </c>
      <c r="E1420" t="s">
        <v>20</v>
      </c>
      <c r="F1420" t="s">
        <v>24</v>
      </c>
      <c r="G1420">
        <v>56</v>
      </c>
      <c r="H1420" s="13">
        <v>95199</v>
      </c>
      <c r="I1420" s="13">
        <v>9621</v>
      </c>
      <c r="J1420" t="s">
        <v>26</v>
      </c>
      <c r="K1420" s="13">
        <f>HR_Data[[#This Row],[Salary]]+HR_Data[[#This Row],[Bonus]]</f>
        <v>104820</v>
      </c>
    </row>
    <row r="1421" spans="1:11" x14ac:dyDescent="0.25">
      <c r="A1421">
        <v>2420</v>
      </c>
      <c r="B1421" t="s">
        <v>1461</v>
      </c>
      <c r="C1421" t="s">
        <v>8</v>
      </c>
      <c r="D1421" t="s">
        <v>14</v>
      </c>
      <c r="E1421" t="s">
        <v>18</v>
      </c>
      <c r="F1421" t="s">
        <v>22</v>
      </c>
      <c r="G1421">
        <v>29</v>
      </c>
      <c r="H1421" s="13">
        <v>56948</v>
      </c>
      <c r="I1421" s="13">
        <v>19932</v>
      </c>
      <c r="J1421" t="s">
        <v>25</v>
      </c>
      <c r="K1421" s="13">
        <f>HR_Data[[#This Row],[Salary]]+HR_Data[[#This Row],[Bonus]]</f>
        <v>76880</v>
      </c>
    </row>
    <row r="1422" spans="1:11" x14ac:dyDescent="0.25">
      <c r="A1422">
        <v>2421</v>
      </c>
      <c r="B1422" t="s">
        <v>1462</v>
      </c>
      <c r="C1422" t="s">
        <v>27</v>
      </c>
      <c r="D1422" t="s">
        <v>14</v>
      </c>
      <c r="E1422" t="s">
        <v>18</v>
      </c>
      <c r="F1422" t="s">
        <v>22</v>
      </c>
      <c r="G1422">
        <v>41</v>
      </c>
      <c r="H1422" s="13">
        <v>57030</v>
      </c>
      <c r="I1422" s="13">
        <v>5839</v>
      </c>
      <c r="J1422" t="s">
        <v>25</v>
      </c>
      <c r="K1422" s="13">
        <f>HR_Data[[#This Row],[Salary]]+HR_Data[[#This Row],[Bonus]]</f>
        <v>62869</v>
      </c>
    </row>
    <row r="1423" spans="1:11" x14ac:dyDescent="0.25">
      <c r="A1423">
        <v>2422</v>
      </c>
      <c r="B1423" t="s">
        <v>1463</v>
      </c>
      <c r="C1423" t="s">
        <v>10</v>
      </c>
      <c r="D1423" t="s">
        <v>15</v>
      </c>
      <c r="E1423" t="s">
        <v>17</v>
      </c>
      <c r="F1423" t="s">
        <v>21</v>
      </c>
      <c r="G1423">
        <v>43</v>
      </c>
      <c r="H1423" s="13">
        <v>47007</v>
      </c>
      <c r="I1423" s="13">
        <v>29578</v>
      </c>
      <c r="J1423" t="s">
        <v>25</v>
      </c>
      <c r="K1423" s="13">
        <f>HR_Data[[#This Row],[Salary]]+HR_Data[[#This Row],[Bonus]]</f>
        <v>76585</v>
      </c>
    </row>
    <row r="1424" spans="1:11" x14ac:dyDescent="0.25">
      <c r="A1424">
        <v>2423</v>
      </c>
      <c r="B1424" t="s">
        <v>1464</v>
      </c>
      <c r="C1424" t="s">
        <v>11</v>
      </c>
      <c r="D1424" t="s">
        <v>15</v>
      </c>
      <c r="E1424" t="s">
        <v>20</v>
      </c>
      <c r="F1424" t="s">
        <v>21</v>
      </c>
      <c r="G1424">
        <v>40</v>
      </c>
      <c r="H1424" s="13">
        <v>111207</v>
      </c>
      <c r="I1424" s="13">
        <v>14243</v>
      </c>
      <c r="J1424" t="s">
        <v>25</v>
      </c>
      <c r="K1424" s="13">
        <f>HR_Data[[#This Row],[Salary]]+HR_Data[[#This Row],[Bonus]]</f>
        <v>125450</v>
      </c>
    </row>
    <row r="1425" spans="1:11" x14ac:dyDescent="0.25">
      <c r="A1425">
        <v>2424</v>
      </c>
      <c r="B1425" t="s">
        <v>1465</v>
      </c>
      <c r="C1425" t="s">
        <v>2042</v>
      </c>
      <c r="D1425" t="s">
        <v>14</v>
      </c>
      <c r="E1425" t="s">
        <v>16</v>
      </c>
      <c r="F1425" t="s">
        <v>21</v>
      </c>
      <c r="G1425">
        <v>51</v>
      </c>
      <c r="H1425" s="13">
        <v>69554.53</v>
      </c>
      <c r="I1425" s="13">
        <v>14596</v>
      </c>
      <c r="J1425" t="s">
        <v>25</v>
      </c>
      <c r="K1425" s="13">
        <f>HR_Data[[#This Row],[Salary]]+HR_Data[[#This Row],[Bonus]]</f>
        <v>84150.53</v>
      </c>
    </row>
    <row r="1426" spans="1:11" x14ac:dyDescent="0.25">
      <c r="A1426">
        <v>2425</v>
      </c>
      <c r="B1426" t="s">
        <v>1466</v>
      </c>
      <c r="C1426" t="s">
        <v>9</v>
      </c>
      <c r="D1426" t="s">
        <v>14</v>
      </c>
      <c r="E1426" t="s">
        <v>19</v>
      </c>
      <c r="F1426" t="s">
        <v>21</v>
      </c>
      <c r="G1426">
        <v>49</v>
      </c>
      <c r="H1426" s="13">
        <v>96772</v>
      </c>
      <c r="I1426" s="13">
        <v>29732</v>
      </c>
      <c r="J1426" t="s">
        <v>25</v>
      </c>
      <c r="K1426" s="13">
        <f>HR_Data[[#This Row],[Salary]]+HR_Data[[#This Row],[Bonus]]</f>
        <v>126504</v>
      </c>
    </row>
    <row r="1427" spans="1:11" x14ac:dyDescent="0.25">
      <c r="A1427">
        <v>2426</v>
      </c>
      <c r="B1427" t="s">
        <v>1467</v>
      </c>
      <c r="C1427" t="s">
        <v>12</v>
      </c>
      <c r="D1427" t="s">
        <v>14</v>
      </c>
      <c r="E1427" t="s">
        <v>20</v>
      </c>
      <c r="F1427" t="s">
        <v>22</v>
      </c>
      <c r="G1427">
        <v>56</v>
      </c>
      <c r="H1427" s="13">
        <v>42024</v>
      </c>
      <c r="I1427" s="13">
        <v>11998</v>
      </c>
      <c r="J1427" t="s">
        <v>25</v>
      </c>
      <c r="K1427" s="13">
        <f>HR_Data[[#This Row],[Salary]]+HR_Data[[#This Row],[Bonus]]</f>
        <v>54022</v>
      </c>
    </row>
    <row r="1428" spans="1:11" x14ac:dyDescent="0.25">
      <c r="A1428">
        <v>2427</v>
      </c>
      <c r="B1428" t="s">
        <v>1468</v>
      </c>
      <c r="C1428" t="s">
        <v>11</v>
      </c>
      <c r="D1428" t="s">
        <v>14</v>
      </c>
      <c r="E1428" t="s">
        <v>20</v>
      </c>
      <c r="F1428" t="s">
        <v>23</v>
      </c>
      <c r="G1428">
        <v>32</v>
      </c>
      <c r="H1428" s="13">
        <v>59384</v>
      </c>
      <c r="I1428" s="13">
        <v>15129</v>
      </c>
      <c r="J1428" t="s">
        <v>26</v>
      </c>
      <c r="K1428" s="13">
        <f>HR_Data[[#This Row],[Salary]]+HR_Data[[#This Row],[Bonus]]</f>
        <v>74513</v>
      </c>
    </row>
    <row r="1429" spans="1:11" x14ac:dyDescent="0.25">
      <c r="A1429">
        <v>2428</v>
      </c>
      <c r="B1429" t="s">
        <v>1469</v>
      </c>
      <c r="C1429" t="s">
        <v>9</v>
      </c>
      <c r="D1429" t="s">
        <v>15</v>
      </c>
      <c r="E1429" t="s">
        <v>18</v>
      </c>
      <c r="F1429" t="s">
        <v>23</v>
      </c>
      <c r="G1429">
        <v>52</v>
      </c>
      <c r="H1429" s="13">
        <v>102912</v>
      </c>
      <c r="I1429" s="13">
        <v>5510</v>
      </c>
      <c r="J1429" t="s">
        <v>25</v>
      </c>
      <c r="K1429" s="13">
        <f>HR_Data[[#This Row],[Salary]]+HR_Data[[#This Row],[Bonus]]</f>
        <v>108422</v>
      </c>
    </row>
    <row r="1430" spans="1:11" x14ac:dyDescent="0.25">
      <c r="A1430">
        <v>2429</v>
      </c>
      <c r="B1430" t="s">
        <v>1470</v>
      </c>
      <c r="C1430" t="s">
        <v>10</v>
      </c>
      <c r="D1430" t="s">
        <v>14</v>
      </c>
      <c r="E1430" t="s">
        <v>19</v>
      </c>
      <c r="F1430" t="s">
        <v>24</v>
      </c>
      <c r="G1430">
        <v>57</v>
      </c>
      <c r="H1430" s="13">
        <v>38157</v>
      </c>
      <c r="I1430" s="13">
        <v>16596</v>
      </c>
      <c r="J1430" t="s">
        <v>26</v>
      </c>
      <c r="K1430" s="13">
        <f>HR_Data[[#This Row],[Salary]]+HR_Data[[#This Row],[Bonus]]</f>
        <v>54753</v>
      </c>
    </row>
    <row r="1431" spans="1:11" x14ac:dyDescent="0.25">
      <c r="A1431">
        <v>2430</v>
      </c>
      <c r="B1431" t="s">
        <v>1471</v>
      </c>
      <c r="C1431" t="s">
        <v>8</v>
      </c>
      <c r="D1431" t="s">
        <v>15</v>
      </c>
      <c r="E1431" t="s">
        <v>17</v>
      </c>
      <c r="F1431" t="s">
        <v>23</v>
      </c>
      <c r="G1431">
        <v>51</v>
      </c>
      <c r="H1431" s="13">
        <v>105481</v>
      </c>
      <c r="I1431" s="13">
        <v>17974</v>
      </c>
      <c r="J1431" t="s">
        <v>25</v>
      </c>
      <c r="K1431" s="13">
        <f>HR_Data[[#This Row],[Salary]]+HR_Data[[#This Row],[Bonus]]</f>
        <v>123455</v>
      </c>
    </row>
    <row r="1432" spans="1:11" x14ac:dyDescent="0.25">
      <c r="A1432">
        <v>2431</v>
      </c>
      <c r="B1432" t="s">
        <v>1472</v>
      </c>
      <c r="C1432" t="s">
        <v>2042</v>
      </c>
      <c r="D1432" t="s">
        <v>14</v>
      </c>
      <c r="E1432" t="s">
        <v>20</v>
      </c>
      <c r="F1432" t="s">
        <v>22</v>
      </c>
      <c r="G1432">
        <v>44</v>
      </c>
      <c r="H1432" s="13">
        <v>108553</v>
      </c>
      <c r="I1432" s="13">
        <v>6137</v>
      </c>
      <c r="J1432" t="s">
        <v>26</v>
      </c>
      <c r="K1432" s="13">
        <f>HR_Data[[#This Row],[Salary]]+HR_Data[[#This Row],[Bonus]]</f>
        <v>114690</v>
      </c>
    </row>
    <row r="1433" spans="1:11" x14ac:dyDescent="0.25">
      <c r="A1433">
        <v>2432</v>
      </c>
      <c r="B1433" t="s">
        <v>1473</v>
      </c>
      <c r="C1433" t="s">
        <v>12</v>
      </c>
      <c r="D1433" t="s">
        <v>15</v>
      </c>
      <c r="E1433" t="s">
        <v>17</v>
      </c>
      <c r="F1433" t="s">
        <v>22</v>
      </c>
      <c r="G1433">
        <v>40</v>
      </c>
      <c r="H1433" s="13">
        <v>21756</v>
      </c>
      <c r="I1433" s="13">
        <v>18700</v>
      </c>
      <c r="J1433" t="s">
        <v>25</v>
      </c>
      <c r="K1433" s="13">
        <f>HR_Data[[#This Row],[Salary]]+HR_Data[[#This Row],[Bonus]]</f>
        <v>40456</v>
      </c>
    </row>
    <row r="1434" spans="1:11" x14ac:dyDescent="0.25">
      <c r="A1434">
        <v>2433</v>
      </c>
      <c r="B1434" t="s">
        <v>1474</v>
      </c>
      <c r="C1434" t="s">
        <v>2042</v>
      </c>
      <c r="D1434" t="s">
        <v>14</v>
      </c>
      <c r="E1434" t="s">
        <v>20</v>
      </c>
      <c r="F1434" t="s">
        <v>22</v>
      </c>
      <c r="G1434">
        <v>33</v>
      </c>
      <c r="H1434" s="13">
        <v>88112</v>
      </c>
      <c r="I1434" s="13">
        <v>26990</v>
      </c>
      <c r="J1434" t="s">
        <v>25</v>
      </c>
      <c r="K1434" s="13">
        <f>HR_Data[[#This Row],[Salary]]+HR_Data[[#This Row],[Bonus]]</f>
        <v>115102</v>
      </c>
    </row>
    <row r="1435" spans="1:11" x14ac:dyDescent="0.25">
      <c r="A1435">
        <v>2434</v>
      </c>
      <c r="B1435" t="s">
        <v>1475</v>
      </c>
      <c r="C1435" t="s">
        <v>10</v>
      </c>
      <c r="D1435" t="s">
        <v>14</v>
      </c>
      <c r="E1435" t="s">
        <v>17</v>
      </c>
      <c r="F1435" t="s">
        <v>24</v>
      </c>
      <c r="G1435">
        <v>36</v>
      </c>
      <c r="H1435" s="13">
        <v>111003</v>
      </c>
      <c r="I1435" s="13">
        <v>9666</v>
      </c>
      <c r="J1435" t="s">
        <v>25</v>
      </c>
      <c r="K1435" s="13">
        <f>HR_Data[[#This Row],[Salary]]+HR_Data[[#This Row],[Bonus]]</f>
        <v>120669</v>
      </c>
    </row>
    <row r="1436" spans="1:11" x14ac:dyDescent="0.25">
      <c r="A1436">
        <v>2435</v>
      </c>
      <c r="B1436" t="s">
        <v>1476</v>
      </c>
      <c r="C1436" t="s">
        <v>2042</v>
      </c>
      <c r="D1436" t="s">
        <v>15</v>
      </c>
      <c r="E1436" t="s">
        <v>19</v>
      </c>
      <c r="F1436" t="s">
        <v>21</v>
      </c>
      <c r="G1436">
        <v>52</v>
      </c>
      <c r="H1436" s="13">
        <v>116741</v>
      </c>
      <c r="I1436" s="13">
        <v>13906</v>
      </c>
      <c r="J1436" t="s">
        <v>25</v>
      </c>
      <c r="K1436" s="13">
        <f>HR_Data[[#This Row],[Salary]]+HR_Data[[#This Row],[Bonus]]</f>
        <v>130647</v>
      </c>
    </row>
    <row r="1437" spans="1:11" x14ac:dyDescent="0.25">
      <c r="A1437">
        <v>2436</v>
      </c>
      <c r="B1437" t="s">
        <v>1477</v>
      </c>
      <c r="C1437" t="s">
        <v>12</v>
      </c>
      <c r="D1437" t="s">
        <v>27</v>
      </c>
      <c r="E1437" t="s">
        <v>18</v>
      </c>
      <c r="F1437" t="s">
        <v>23</v>
      </c>
      <c r="G1437">
        <v>58</v>
      </c>
      <c r="H1437" s="13">
        <v>78051</v>
      </c>
      <c r="I1437" s="13">
        <v>26818</v>
      </c>
      <c r="J1437" t="s">
        <v>25</v>
      </c>
      <c r="K1437" s="13">
        <f>HR_Data[[#This Row],[Salary]]+HR_Data[[#This Row],[Bonus]]</f>
        <v>104869</v>
      </c>
    </row>
    <row r="1438" spans="1:11" x14ac:dyDescent="0.25">
      <c r="A1438">
        <v>2437</v>
      </c>
      <c r="B1438" t="s">
        <v>1478</v>
      </c>
      <c r="C1438" t="s">
        <v>10</v>
      </c>
      <c r="D1438" t="s">
        <v>14</v>
      </c>
      <c r="E1438" t="s">
        <v>19</v>
      </c>
      <c r="F1438" t="s">
        <v>22</v>
      </c>
      <c r="G1438">
        <v>58</v>
      </c>
      <c r="H1438" s="13">
        <v>84595</v>
      </c>
      <c r="I1438" s="13">
        <v>15478</v>
      </c>
      <c r="J1438" t="s">
        <v>26</v>
      </c>
      <c r="K1438" s="13">
        <f>HR_Data[[#This Row],[Salary]]+HR_Data[[#This Row],[Bonus]]</f>
        <v>100073</v>
      </c>
    </row>
    <row r="1439" spans="1:11" x14ac:dyDescent="0.25">
      <c r="A1439">
        <v>2438</v>
      </c>
      <c r="B1439" t="s">
        <v>1479</v>
      </c>
      <c r="C1439" t="s">
        <v>2042</v>
      </c>
      <c r="D1439" t="s">
        <v>14</v>
      </c>
      <c r="E1439" t="s">
        <v>16</v>
      </c>
      <c r="F1439" t="s">
        <v>22</v>
      </c>
      <c r="G1439">
        <v>36</v>
      </c>
      <c r="H1439" s="13">
        <v>98210</v>
      </c>
      <c r="I1439" s="13">
        <v>27830</v>
      </c>
      <c r="J1439" t="s">
        <v>26</v>
      </c>
      <c r="K1439" s="13">
        <f>HR_Data[[#This Row],[Salary]]+HR_Data[[#This Row],[Bonus]]</f>
        <v>126040</v>
      </c>
    </row>
    <row r="1440" spans="1:11" x14ac:dyDescent="0.25">
      <c r="A1440">
        <v>2439</v>
      </c>
      <c r="B1440" t="s">
        <v>1480</v>
      </c>
      <c r="C1440" t="s">
        <v>8</v>
      </c>
      <c r="D1440" t="s">
        <v>15</v>
      </c>
      <c r="E1440" t="s">
        <v>18</v>
      </c>
      <c r="F1440" t="s">
        <v>21</v>
      </c>
      <c r="G1440">
        <v>50</v>
      </c>
      <c r="H1440" s="13">
        <v>63094</v>
      </c>
      <c r="I1440" s="13">
        <v>7654</v>
      </c>
      <c r="J1440" t="s">
        <v>25</v>
      </c>
      <c r="K1440" s="13">
        <f>HR_Data[[#This Row],[Salary]]+HR_Data[[#This Row],[Bonus]]</f>
        <v>70748</v>
      </c>
    </row>
    <row r="1441" spans="1:11" x14ac:dyDescent="0.25">
      <c r="A1441">
        <v>2440</v>
      </c>
      <c r="B1441" t="s">
        <v>1481</v>
      </c>
      <c r="C1441" t="s">
        <v>11</v>
      </c>
      <c r="D1441" t="s">
        <v>14</v>
      </c>
      <c r="E1441" t="s">
        <v>19</v>
      </c>
      <c r="F1441" t="s">
        <v>22</v>
      </c>
      <c r="G1441">
        <v>47</v>
      </c>
      <c r="H1441" s="13">
        <v>107889</v>
      </c>
      <c r="I1441" s="13">
        <v>5990</v>
      </c>
      <c r="J1441" t="s">
        <v>25</v>
      </c>
      <c r="K1441" s="13">
        <f>HR_Data[[#This Row],[Salary]]+HR_Data[[#This Row],[Bonus]]</f>
        <v>113879</v>
      </c>
    </row>
    <row r="1442" spans="1:11" x14ac:dyDescent="0.25">
      <c r="A1442">
        <v>2441</v>
      </c>
      <c r="B1442" t="s">
        <v>1482</v>
      </c>
      <c r="C1442" t="s">
        <v>10</v>
      </c>
      <c r="D1442" t="s">
        <v>14</v>
      </c>
      <c r="E1442" t="s">
        <v>16</v>
      </c>
      <c r="F1442" t="s">
        <v>23</v>
      </c>
      <c r="G1442">
        <v>23</v>
      </c>
      <c r="H1442" s="13">
        <v>115385</v>
      </c>
      <c r="I1442" s="13">
        <v>29204</v>
      </c>
      <c r="J1442" t="s">
        <v>25</v>
      </c>
      <c r="K1442" s="13">
        <f>HR_Data[[#This Row],[Salary]]+HR_Data[[#This Row],[Bonus]]</f>
        <v>144589</v>
      </c>
    </row>
    <row r="1443" spans="1:11" x14ac:dyDescent="0.25">
      <c r="A1443">
        <v>2442</v>
      </c>
      <c r="B1443" t="s">
        <v>1483</v>
      </c>
      <c r="C1443" t="s">
        <v>11</v>
      </c>
      <c r="D1443" t="s">
        <v>15</v>
      </c>
      <c r="E1443" t="s">
        <v>20</v>
      </c>
      <c r="F1443" t="s">
        <v>24</v>
      </c>
      <c r="G1443">
        <v>41</v>
      </c>
      <c r="H1443" s="13">
        <v>24535</v>
      </c>
      <c r="I1443" s="13">
        <v>7160</v>
      </c>
      <c r="J1443" t="s">
        <v>26</v>
      </c>
      <c r="K1443" s="13">
        <f>HR_Data[[#This Row],[Salary]]+HR_Data[[#This Row],[Bonus]]</f>
        <v>31695</v>
      </c>
    </row>
    <row r="1444" spans="1:11" x14ac:dyDescent="0.25">
      <c r="A1444">
        <v>2443</v>
      </c>
      <c r="B1444" t="s">
        <v>1484</v>
      </c>
      <c r="C1444" t="s">
        <v>10</v>
      </c>
      <c r="D1444" t="s">
        <v>15</v>
      </c>
      <c r="E1444" t="s">
        <v>20</v>
      </c>
      <c r="F1444" t="s">
        <v>22</v>
      </c>
      <c r="G1444">
        <v>36</v>
      </c>
      <c r="H1444" s="13">
        <v>76035</v>
      </c>
      <c r="I1444" s="13">
        <v>27124</v>
      </c>
      <c r="J1444" t="s">
        <v>26</v>
      </c>
      <c r="K1444" s="13">
        <f>HR_Data[[#This Row],[Salary]]+HR_Data[[#This Row],[Bonus]]</f>
        <v>103159</v>
      </c>
    </row>
    <row r="1445" spans="1:11" x14ac:dyDescent="0.25">
      <c r="A1445">
        <v>2444</v>
      </c>
      <c r="B1445" t="s">
        <v>1485</v>
      </c>
      <c r="C1445" t="s">
        <v>8</v>
      </c>
      <c r="D1445" t="s">
        <v>15</v>
      </c>
      <c r="E1445" t="s">
        <v>17</v>
      </c>
      <c r="F1445" t="s">
        <v>23</v>
      </c>
      <c r="G1445">
        <v>25</v>
      </c>
      <c r="H1445" s="13">
        <v>67367</v>
      </c>
      <c r="I1445" s="13">
        <v>25841</v>
      </c>
      <c r="J1445" t="s">
        <v>25</v>
      </c>
      <c r="K1445" s="13">
        <f>HR_Data[[#This Row],[Salary]]+HR_Data[[#This Row],[Bonus]]</f>
        <v>93208</v>
      </c>
    </row>
    <row r="1446" spans="1:11" x14ac:dyDescent="0.25">
      <c r="A1446">
        <v>2445</v>
      </c>
      <c r="B1446" t="s">
        <v>1486</v>
      </c>
      <c r="C1446" t="s">
        <v>11</v>
      </c>
      <c r="D1446" t="s">
        <v>14</v>
      </c>
      <c r="E1446" t="s">
        <v>18</v>
      </c>
      <c r="F1446" t="s">
        <v>22</v>
      </c>
      <c r="G1446">
        <v>43</v>
      </c>
      <c r="H1446" s="13">
        <v>37118</v>
      </c>
      <c r="I1446" s="13">
        <v>20136</v>
      </c>
      <c r="J1446" t="s">
        <v>26</v>
      </c>
      <c r="K1446" s="13">
        <f>HR_Data[[#This Row],[Salary]]+HR_Data[[#This Row],[Bonus]]</f>
        <v>57254</v>
      </c>
    </row>
    <row r="1447" spans="1:11" x14ac:dyDescent="0.25">
      <c r="A1447">
        <v>2446</v>
      </c>
      <c r="B1447" t="s">
        <v>1487</v>
      </c>
      <c r="C1447" t="s">
        <v>9</v>
      </c>
      <c r="D1447" t="s">
        <v>14</v>
      </c>
      <c r="E1447" t="s">
        <v>20</v>
      </c>
      <c r="F1447" t="s">
        <v>21</v>
      </c>
      <c r="G1447">
        <v>59</v>
      </c>
      <c r="H1447" s="13">
        <v>79812</v>
      </c>
      <c r="I1447" s="13">
        <v>15336</v>
      </c>
      <c r="J1447" t="s">
        <v>26</v>
      </c>
      <c r="K1447" s="13">
        <f>HR_Data[[#This Row],[Salary]]+HR_Data[[#This Row],[Bonus]]</f>
        <v>95148</v>
      </c>
    </row>
    <row r="1448" spans="1:11" x14ac:dyDescent="0.25">
      <c r="A1448">
        <v>2447</v>
      </c>
      <c r="B1448" t="s">
        <v>1488</v>
      </c>
      <c r="C1448" t="s">
        <v>12</v>
      </c>
      <c r="D1448" t="s">
        <v>14</v>
      </c>
      <c r="E1448" t="s">
        <v>18</v>
      </c>
      <c r="F1448" t="s">
        <v>22</v>
      </c>
      <c r="G1448">
        <v>44</v>
      </c>
      <c r="H1448" s="13">
        <v>79884</v>
      </c>
      <c r="I1448" s="13">
        <v>19269</v>
      </c>
      <c r="J1448" t="s">
        <v>26</v>
      </c>
      <c r="K1448" s="13">
        <f>HR_Data[[#This Row],[Salary]]+HR_Data[[#This Row],[Bonus]]</f>
        <v>99153</v>
      </c>
    </row>
    <row r="1449" spans="1:11" x14ac:dyDescent="0.25">
      <c r="A1449">
        <v>2448</v>
      </c>
      <c r="B1449" t="s">
        <v>1489</v>
      </c>
      <c r="C1449" t="s">
        <v>9</v>
      </c>
      <c r="D1449" t="s">
        <v>15</v>
      </c>
      <c r="E1449" t="s">
        <v>20</v>
      </c>
      <c r="F1449" t="s">
        <v>22</v>
      </c>
      <c r="G1449">
        <v>47</v>
      </c>
      <c r="H1449" s="13">
        <v>86168</v>
      </c>
      <c r="I1449" s="13">
        <v>21206</v>
      </c>
      <c r="J1449" t="s">
        <v>27</v>
      </c>
      <c r="K1449" s="13">
        <f>HR_Data[[#This Row],[Salary]]+HR_Data[[#This Row],[Bonus]]</f>
        <v>107374</v>
      </c>
    </row>
    <row r="1450" spans="1:11" x14ac:dyDescent="0.25">
      <c r="A1450">
        <v>2449</v>
      </c>
      <c r="B1450" t="s">
        <v>1490</v>
      </c>
      <c r="C1450" t="s">
        <v>2042</v>
      </c>
      <c r="D1450" t="s">
        <v>14</v>
      </c>
      <c r="E1450" t="s">
        <v>17</v>
      </c>
      <c r="F1450" t="s">
        <v>24</v>
      </c>
      <c r="G1450">
        <v>32</v>
      </c>
      <c r="H1450" s="13">
        <v>33280</v>
      </c>
      <c r="I1450" s="13">
        <v>7063</v>
      </c>
      <c r="J1450" t="s">
        <v>25</v>
      </c>
      <c r="K1450" s="13">
        <f>HR_Data[[#This Row],[Salary]]+HR_Data[[#This Row],[Bonus]]</f>
        <v>40343</v>
      </c>
    </row>
    <row r="1451" spans="1:11" x14ac:dyDescent="0.25">
      <c r="A1451">
        <v>2450</v>
      </c>
      <c r="B1451" t="s">
        <v>1491</v>
      </c>
      <c r="C1451" t="s">
        <v>8</v>
      </c>
      <c r="D1451" t="s">
        <v>14</v>
      </c>
      <c r="E1451" t="s">
        <v>19</v>
      </c>
      <c r="F1451" t="s">
        <v>21</v>
      </c>
      <c r="G1451">
        <v>49</v>
      </c>
      <c r="H1451" s="13">
        <v>34746</v>
      </c>
      <c r="I1451" s="13">
        <v>15795</v>
      </c>
      <c r="J1451" t="s">
        <v>26</v>
      </c>
      <c r="K1451" s="13">
        <f>HR_Data[[#This Row],[Salary]]+HR_Data[[#This Row],[Bonus]]</f>
        <v>50541</v>
      </c>
    </row>
    <row r="1452" spans="1:11" x14ac:dyDescent="0.25">
      <c r="A1452">
        <v>2451</v>
      </c>
      <c r="B1452" t="s">
        <v>1492</v>
      </c>
      <c r="C1452" t="s">
        <v>9</v>
      </c>
      <c r="D1452" t="s">
        <v>15</v>
      </c>
      <c r="E1452" t="s">
        <v>17</v>
      </c>
      <c r="F1452" t="s">
        <v>21</v>
      </c>
      <c r="G1452">
        <v>23</v>
      </c>
      <c r="H1452" s="13">
        <v>73251</v>
      </c>
      <c r="I1452" s="13">
        <v>23361</v>
      </c>
      <c r="J1452" t="s">
        <v>25</v>
      </c>
      <c r="K1452" s="13">
        <f>HR_Data[[#This Row],[Salary]]+HR_Data[[#This Row],[Bonus]]</f>
        <v>96612</v>
      </c>
    </row>
    <row r="1453" spans="1:11" x14ac:dyDescent="0.25">
      <c r="A1453">
        <v>2452</v>
      </c>
      <c r="B1453" t="s">
        <v>1493</v>
      </c>
      <c r="C1453" t="s">
        <v>10</v>
      </c>
      <c r="D1453" t="s">
        <v>15</v>
      </c>
      <c r="E1453" t="s">
        <v>16</v>
      </c>
      <c r="F1453" t="s">
        <v>24</v>
      </c>
      <c r="G1453">
        <v>29</v>
      </c>
      <c r="H1453" s="13">
        <v>104821</v>
      </c>
      <c r="I1453" s="13">
        <v>13567</v>
      </c>
      <c r="J1453" t="s">
        <v>25</v>
      </c>
      <c r="K1453" s="13">
        <f>HR_Data[[#This Row],[Salary]]+HR_Data[[#This Row],[Bonus]]</f>
        <v>118388</v>
      </c>
    </row>
    <row r="1454" spans="1:11" x14ac:dyDescent="0.25">
      <c r="A1454">
        <v>2453</v>
      </c>
      <c r="B1454" t="s">
        <v>1494</v>
      </c>
      <c r="C1454" t="s">
        <v>2042</v>
      </c>
      <c r="D1454" t="s">
        <v>15</v>
      </c>
      <c r="E1454" t="s">
        <v>20</v>
      </c>
      <c r="F1454" t="s">
        <v>22</v>
      </c>
      <c r="G1454">
        <v>50</v>
      </c>
      <c r="H1454" s="13">
        <v>103583</v>
      </c>
      <c r="I1454" s="13">
        <v>13933</v>
      </c>
      <c r="J1454" t="s">
        <v>25</v>
      </c>
      <c r="K1454" s="13">
        <f>HR_Data[[#This Row],[Salary]]+HR_Data[[#This Row],[Bonus]]</f>
        <v>117516</v>
      </c>
    </row>
    <row r="1455" spans="1:11" x14ac:dyDescent="0.25">
      <c r="A1455">
        <v>2454</v>
      </c>
      <c r="B1455" t="s">
        <v>1495</v>
      </c>
      <c r="C1455" t="s">
        <v>2042</v>
      </c>
      <c r="D1455" t="s">
        <v>15</v>
      </c>
      <c r="E1455" t="s">
        <v>16</v>
      </c>
      <c r="F1455" t="s">
        <v>23</v>
      </c>
      <c r="G1455">
        <v>32</v>
      </c>
      <c r="H1455" s="13">
        <v>30207</v>
      </c>
      <c r="I1455" s="13">
        <v>24051</v>
      </c>
      <c r="J1455" t="s">
        <v>25</v>
      </c>
      <c r="K1455" s="13">
        <f>HR_Data[[#This Row],[Salary]]+HR_Data[[#This Row],[Bonus]]</f>
        <v>54258</v>
      </c>
    </row>
    <row r="1456" spans="1:11" x14ac:dyDescent="0.25">
      <c r="A1456">
        <v>2455</v>
      </c>
      <c r="B1456" t="s">
        <v>1496</v>
      </c>
      <c r="C1456" t="s">
        <v>9</v>
      </c>
      <c r="D1456" t="s">
        <v>15</v>
      </c>
      <c r="E1456" t="s">
        <v>16</v>
      </c>
      <c r="F1456" t="s">
        <v>21</v>
      </c>
      <c r="G1456">
        <v>58</v>
      </c>
      <c r="H1456" s="13">
        <v>91127</v>
      </c>
      <c r="I1456" s="13">
        <v>20619</v>
      </c>
      <c r="J1456" t="s">
        <v>26</v>
      </c>
      <c r="K1456" s="13">
        <f>HR_Data[[#This Row],[Salary]]+HR_Data[[#This Row],[Bonus]]</f>
        <v>111746</v>
      </c>
    </row>
    <row r="1457" spans="1:11" x14ac:dyDescent="0.25">
      <c r="A1457">
        <v>2456</v>
      </c>
      <c r="B1457" t="s">
        <v>1497</v>
      </c>
      <c r="C1457" t="s">
        <v>9</v>
      </c>
      <c r="D1457" t="s">
        <v>27</v>
      </c>
      <c r="E1457" t="s">
        <v>18</v>
      </c>
      <c r="F1457" t="s">
        <v>21</v>
      </c>
      <c r="G1457">
        <v>39</v>
      </c>
      <c r="H1457" s="13">
        <v>47757</v>
      </c>
      <c r="I1457" s="13">
        <v>9919</v>
      </c>
      <c r="J1457" t="s">
        <v>25</v>
      </c>
      <c r="K1457" s="13">
        <f>HR_Data[[#This Row],[Salary]]+HR_Data[[#This Row],[Bonus]]</f>
        <v>57676</v>
      </c>
    </row>
    <row r="1458" spans="1:11" x14ac:dyDescent="0.25">
      <c r="A1458">
        <v>2457</v>
      </c>
      <c r="B1458" t="s">
        <v>1498</v>
      </c>
      <c r="C1458" t="s">
        <v>8</v>
      </c>
      <c r="D1458" t="s">
        <v>15</v>
      </c>
      <c r="E1458" t="s">
        <v>20</v>
      </c>
      <c r="F1458" t="s">
        <v>22</v>
      </c>
      <c r="G1458">
        <v>35</v>
      </c>
      <c r="H1458" s="13">
        <v>36226</v>
      </c>
      <c r="I1458" s="13">
        <v>16741</v>
      </c>
      <c r="J1458" t="s">
        <v>25</v>
      </c>
      <c r="K1458" s="13">
        <f>HR_Data[[#This Row],[Salary]]+HR_Data[[#This Row],[Bonus]]</f>
        <v>52967</v>
      </c>
    </row>
    <row r="1459" spans="1:11" x14ac:dyDescent="0.25">
      <c r="A1459">
        <v>2458</v>
      </c>
      <c r="B1459" t="s">
        <v>1499</v>
      </c>
      <c r="C1459" t="s">
        <v>12</v>
      </c>
      <c r="D1459" t="s">
        <v>14</v>
      </c>
      <c r="E1459" t="s">
        <v>16</v>
      </c>
      <c r="F1459" t="s">
        <v>22</v>
      </c>
      <c r="G1459">
        <v>31</v>
      </c>
      <c r="H1459" s="13">
        <v>69554.53</v>
      </c>
      <c r="I1459" s="13">
        <v>29993</v>
      </c>
      <c r="J1459" t="s">
        <v>25</v>
      </c>
      <c r="K1459" s="13">
        <f>HR_Data[[#This Row],[Salary]]+HR_Data[[#This Row],[Bonus]]</f>
        <v>99547.53</v>
      </c>
    </row>
    <row r="1460" spans="1:11" x14ac:dyDescent="0.25">
      <c r="A1460">
        <v>2459</v>
      </c>
      <c r="B1460" t="s">
        <v>1500</v>
      </c>
      <c r="C1460" t="s">
        <v>9</v>
      </c>
      <c r="D1460" t="s">
        <v>14</v>
      </c>
      <c r="E1460" t="s">
        <v>19</v>
      </c>
      <c r="F1460" t="s">
        <v>21</v>
      </c>
      <c r="G1460">
        <v>56</v>
      </c>
      <c r="H1460" s="13">
        <v>81407</v>
      </c>
      <c r="I1460" s="13">
        <v>29026</v>
      </c>
      <c r="J1460" t="s">
        <v>26</v>
      </c>
      <c r="K1460" s="13">
        <f>HR_Data[[#This Row],[Salary]]+HR_Data[[#This Row],[Bonus]]</f>
        <v>110433</v>
      </c>
    </row>
    <row r="1461" spans="1:11" x14ac:dyDescent="0.25">
      <c r="A1461">
        <v>2460</v>
      </c>
      <c r="B1461" t="s">
        <v>1501</v>
      </c>
      <c r="C1461" t="s">
        <v>9</v>
      </c>
      <c r="D1461" t="s">
        <v>15</v>
      </c>
      <c r="E1461" t="s">
        <v>16</v>
      </c>
      <c r="F1461" t="s">
        <v>22</v>
      </c>
      <c r="G1461">
        <v>30</v>
      </c>
      <c r="H1461" s="13">
        <v>47206</v>
      </c>
      <c r="I1461" s="13">
        <v>13798</v>
      </c>
      <c r="J1461" t="s">
        <v>25</v>
      </c>
      <c r="K1461" s="13">
        <f>HR_Data[[#This Row],[Salary]]+HR_Data[[#This Row],[Bonus]]</f>
        <v>61004</v>
      </c>
    </row>
    <row r="1462" spans="1:11" x14ac:dyDescent="0.25">
      <c r="A1462">
        <v>2461</v>
      </c>
      <c r="B1462" t="s">
        <v>1502</v>
      </c>
      <c r="C1462" t="s">
        <v>11</v>
      </c>
      <c r="D1462" t="s">
        <v>15</v>
      </c>
      <c r="E1462" t="s">
        <v>19</v>
      </c>
      <c r="F1462" t="s">
        <v>23</v>
      </c>
      <c r="G1462">
        <v>56</v>
      </c>
      <c r="H1462" s="13">
        <v>40256</v>
      </c>
      <c r="I1462" s="13">
        <v>21927</v>
      </c>
      <c r="J1462" t="s">
        <v>25</v>
      </c>
      <c r="K1462" s="13">
        <f>HR_Data[[#This Row],[Salary]]+HR_Data[[#This Row],[Bonus]]</f>
        <v>62183</v>
      </c>
    </row>
    <row r="1463" spans="1:11" x14ac:dyDescent="0.25">
      <c r="A1463">
        <v>2462</v>
      </c>
      <c r="B1463" t="s">
        <v>1503</v>
      </c>
      <c r="C1463" t="s">
        <v>10</v>
      </c>
      <c r="D1463" t="s">
        <v>15</v>
      </c>
      <c r="E1463" t="s">
        <v>18</v>
      </c>
      <c r="F1463" t="s">
        <v>21</v>
      </c>
      <c r="G1463">
        <v>32</v>
      </c>
      <c r="H1463" s="13">
        <v>53822</v>
      </c>
      <c r="I1463" s="13">
        <v>19566</v>
      </c>
      <c r="J1463" t="s">
        <v>25</v>
      </c>
      <c r="K1463" s="13">
        <f>HR_Data[[#This Row],[Salary]]+HR_Data[[#This Row],[Bonus]]</f>
        <v>73388</v>
      </c>
    </row>
    <row r="1464" spans="1:11" x14ac:dyDescent="0.25">
      <c r="A1464">
        <v>2463</v>
      </c>
      <c r="B1464" t="s">
        <v>1504</v>
      </c>
      <c r="C1464" t="s">
        <v>11</v>
      </c>
      <c r="D1464" t="s">
        <v>14</v>
      </c>
      <c r="E1464" t="s">
        <v>16</v>
      </c>
      <c r="F1464" t="s">
        <v>23</v>
      </c>
      <c r="G1464">
        <v>33</v>
      </c>
      <c r="H1464" s="13">
        <v>61340</v>
      </c>
      <c r="I1464" s="13">
        <v>5883</v>
      </c>
      <c r="J1464" t="s">
        <v>25</v>
      </c>
      <c r="K1464" s="13">
        <f>HR_Data[[#This Row],[Salary]]+HR_Data[[#This Row],[Bonus]]</f>
        <v>67223</v>
      </c>
    </row>
    <row r="1465" spans="1:11" x14ac:dyDescent="0.25">
      <c r="A1465">
        <v>2464</v>
      </c>
      <c r="B1465" t="s">
        <v>1505</v>
      </c>
      <c r="C1465" t="s">
        <v>11</v>
      </c>
      <c r="D1465" t="s">
        <v>15</v>
      </c>
      <c r="E1465" t="s">
        <v>17</v>
      </c>
      <c r="F1465" t="s">
        <v>23</v>
      </c>
      <c r="G1465">
        <v>24</v>
      </c>
      <c r="H1465" s="13">
        <v>72234</v>
      </c>
      <c r="I1465" s="13">
        <v>26182</v>
      </c>
      <c r="J1465" t="s">
        <v>25</v>
      </c>
      <c r="K1465" s="13">
        <f>HR_Data[[#This Row],[Salary]]+HR_Data[[#This Row],[Bonus]]</f>
        <v>98416</v>
      </c>
    </row>
    <row r="1466" spans="1:11" x14ac:dyDescent="0.25">
      <c r="A1466">
        <v>2465</v>
      </c>
      <c r="B1466" t="s">
        <v>1506</v>
      </c>
      <c r="C1466" t="s">
        <v>2042</v>
      </c>
      <c r="D1466" t="s">
        <v>15</v>
      </c>
      <c r="E1466" t="s">
        <v>18</v>
      </c>
      <c r="F1466" t="s">
        <v>22</v>
      </c>
      <c r="G1466">
        <v>35</v>
      </c>
      <c r="H1466" s="13">
        <v>69554.53</v>
      </c>
      <c r="I1466" s="13">
        <v>29424</v>
      </c>
      <c r="J1466" t="s">
        <v>25</v>
      </c>
      <c r="K1466" s="13">
        <f>HR_Data[[#This Row],[Salary]]+HR_Data[[#This Row],[Bonus]]</f>
        <v>98978.53</v>
      </c>
    </row>
    <row r="1467" spans="1:11" x14ac:dyDescent="0.25">
      <c r="A1467">
        <v>2466</v>
      </c>
      <c r="B1467" t="s">
        <v>1507</v>
      </c>
      <c r="C1467" t="s">
        <v>12</v>
      </c>
      <c r="D1467" t="s">
        <v>15</v>
      </c>
      <c r="E1467" t="s">
        <v>19</v>
      </c>
      <c r="F1467" t="s">
        <v>23</v>
      </c>
      <c r="G1467">
        <v>49</v>
      </c>
      <c r="H1467" s="13">
        <v>68671</v>
      </c>
      <c r="I1467" s="13">
        <v>14415</v>
      </c>
      <c r="J1467" t="s">
        <v>25</v>
      </c>
      <c r="K1467" s="13">
        <f>HR_Data[[#This Row],[Salary]]+HR_Data[[#This Row],[Bonus]]</f>
        <v>83086</v>
      </c>
    </row>
    <row r="1468" spans="1:11" x14ac:dyDescent="0.25">
      <c r="A1468">
        <v>2467</v>
      </c>
      <c r="B1468" t="s">
        <v>1508</v>
      </c>
      <c r="C1468" t="s">
        <v>10</v>
      </c>
      <c r="D1468" t="s">
        <v>15</v>
      </c>
      <c r="E1468" t="s">
        <v>18</v>
      </c>
      <c r="F1468" t="s">
        <v>22</v>
      </c>
      <c r="G1468">
        <v>32</v>
      </c>
      <c r="H1468" s="13">
        <v>95320</v>
      </c>
      <c r="I1468" s="13">
        <v>16085</v>
      </c>
      <c r="J1468" t="s">
        <v>25</v>
      </c>
      <c r="K1468" s="13">
        <f>HR_Data[[#This Row],[Salary]]+HR_Data[[#This Row],[Bonus]]</f>
        <v>111405</v>
      </c>
    </row>
    <row r="1469" spans="1:11" x14ac:dyDescent="0.25">
      <c r="A1469">
        <v>2468</v>
      </c>
      <c r="B1469" t="s">
        <v>1509</v>
      </c>
      <c r="C1469" t="s">
        <v>8</v>
      </c>
      <c r="D1469" t="s">
        <v>15</v>
      </c>
      <c r="E1469" t="s">
        <v>16</v>
      </c>
      <c r="F1469" t="s">
        <v>24</v>
      </c>
      <c r="G1469">
        <v>46</v>
      </c>
      <c r="H1469" s="13">
        <v>55157</v>
      </c>
      <c r="I1469" s="13">
        <v>20008</v>
      </c>
      <c r="J1469" t="s">
        <v>26</v>
      </c>
      <c r="K1469" s="13">
        <f>HR_Data[[#This Row],[Salary]]+HR_Data[[#This Row],[Bonus]]</f>
        <v>75165</v>
      </c>
    </row>
    <row r="1470" spans="1:11" x14ac:dyDescent="0.25">
      <c r="A1470">
        <v>2469</v>
      </c>
      <c r="B1470" t="s">
        <v>1510</v>
      </c>
      <c r="C1470" t="s">
        <v>8</v>
      </c>
      <c r="D1470" t="s">
        <v>14</v>
      </c>
      <c r="E1470" t="s">
        <v>20</v>
      </c>
      <c r="F1470" t="s">
        <v>22</v>
      </c>
      <c r="G1470">
        <v>42</v>
      </c>
      <c r="H1470" s="13">
        <v>39937</v>
      </c>
      <c r="I1470" s="13">
        <v>27102</v>
      </c>
      <c r="J1470" t="s">
        <v>25</v>
      </c>
      <c r="K1470" s="13">
        <f>HR_Data[[#This Row],[Salary]]+HR_Data[[#This Row],[Bonus]]</f>
        <v>67039</v>
      </c>
    </row>
    <row r="1471" spans="1:11" x14ac:dyDescent="0.25">
      <c r="A1471">
        <v>2470</v>
      </c>
      <c r="B1471" t="s">
        <v>1511</v>
      </c>
      <c r="C1471" t="s">
        <v>9</v>
      </c>
      <c r="D1471" t="s">
        <v>14</v>
      </c>
      <c r="E1471" t="s">
        <v>20</v>
      </c>
      <c r="F1471" t="s">
        <v>23</v>
      </c>
      <c r="G1471">
        <v>31</v>
      </c>
      <c r="H1471" s="13">
        <v>74290</v>
      </c>
      <c r="I1471" s="13">
        <v>23452</v>
      </c>
      <c r="J1471" t="s">
        <v>25</v>
      </c>
      <c r="K1471" s="13">
        <f>HR_Data[[#This Row],[Salary]]+HR_Data[[#This Row],[Bonus]]</f>
        <v>97742</v>
      </c>
    </row>
    <row r="1472" spans="1:11" x14ac:dyDescent="0.25">
      <c r="A1472">
        <v>2471</v>
      </c>
      <c r="B1472" t="s">
        <v>1512</v>
      </c>
      <c r="C1472" t="s">
        <v>9</v>
      </c>
      <c r="D1472" t="s">
        <v>14</v>
      </c>
      <c r="E1472" t="s">
        <v>19</v>
      </c>
      <c r="F1472" t="s">
        <v>24</v>
      </c>
      <c r="G1472">
        <v>36</v>
      </c>
      <c r="H1472" s="13">
        <v>69554.53</v>
      </c>
      <c r="I1472" s="13">
        <v>28862</v>
      </c>
      <c r="J1472" t="s">
        <v>25</v>
      </c>
      <c r="K1472" s="13">
        <f>HR_Data[[#This Row],[Salary]]+HR_Data[[#This Row],[Bonus]]</f>
        <v>98416.53</v>
      </c>
    </row>
    <row r="1473" spans="1:11" x14ac:dyDescent="0.25">
      <c r="A1473">
        <v>2472</v>
      </c>
      <c r="B1473" t="s">
        <v>1513</v>
      </c>
      <c r="C1473" t="s">
        <v>8</v>
      </c>
      <c r="D1473" t="s">
        <v>15</v>
      </c>
      <c r="E1473" t="s">
        <v>19</v>
      </c>
      <c r="F1473" t="s">
        <v>22</v>
      </c>
      <c r="G1473">
        <v>40</v>
      </c>
      <c r="H1473" s="13">
        <v>31219</v>
      </c>
      <c r="I1473" s="13">
        <v>13120</v>
      </c>
      <c r="J1473" t="s">
        <v>26</v>
      </c>
      <c r="K1473" s="13">
        <f>HR_Data[[#This Row],[Salary]]+HR_Data[[#This Row],[Bonus]]</f>
        <v>44339</v>
      </c>
    </row>
    <row r="1474" spans="1:11" x14ac:dyDescent="0.25">
      <c r="A1474">
        <v>2473</v>
      </c>
      <c r="B1474" t="s">
        <v>1514</v>
      </c>
      <c r="C1474" t="s">
        <v>9</v>
      </c>
      <c r="D1474" t="s">
        <v>15</v>
      </c>
      <c r="E1474" t="s">
        <v>20</v>
      </c>
      <c r="F1474" t="s">
        <v>23</v>
      </c>
      <c r="G1474">
        <v>43</v>
      </c>
      <c r="H1474" s="13">
        <v>29399</v>
      </c>
      <c r="I1474" s="13">
        <v>12820</v>
      </c>
      <c r="J1474" t="s">
        <v>25</v>
      </c>
      <c r="K1474" s="13">
        <f>HR_Data[[#This Row],[Salary]]+HR_Data[[#This Row],[Bonus]]</f>
        <v>42219</v>
      </c>
    </row>
    <row r="1475" spans="1:11" x14ac:dyDescent="0.25">
      <c r="A1475">
        <v>2474</v>
      </c>
      <c r="B1475" t="s">
        <v>1515</v>
      </c>
      <c r="C1475" t="s">
        <v>12</v>
      </c>
      <c r="D1475" t="s">
        <v>15</v>
      </c>
      <c r="E1475" t="s">
        <v>19</v>
      </c>
      <c r="F1475" t="s">
        <v>21</v>
      </c>
      <c r="G1475">
        <v>42</v>
      </c>
      <c r="H1475" s="13">
        <v>118848</v>
      </c>
      <c r="I1475" s="13">
        <v>16901</v>
      </c>
      <c r="J1475" t="s">
        <v>25</v>
      </c>
      <c r="K1475" s="13">
        <f>HR_Data[[#This Row],[Salary]]+HR_Data[[#This Row],[Bonus]]</f>
        <v>135749</v>
      </c>
    </row>
    <row r="1476" spans="1:11" x14ac:dyDescent="0.25">
      <c r="A1476">
        <v>2475</v>
      </c>
      <c r="B1476" t="s">
        <v>1516</v>
      </c>
      <c r="C1476" t="s">
        <v>11</v>
      </c>
      <c r="D1476" t="s">
        <v>14</v>
      </c>
      <c r="E1476" t="s">
        <v>18</v>
      </c>
      <c r="F1476" t="s">
        <v>21</v>
      </c>
      <c r="G1476">
        <v>53</v>
      </c>
      <c r="H1476" s="13">
        <v>47657</v>
      </c>
      <c r="I1476" s="13">
        <v>23170</v>
      </c>
      <c r="J1476" t="s">
        <v>25</v>
      </c>
      <c r="K1476" s="13">
        <f>HR_Data[[#This Row],[Salary]]+HR_Data[[#This Row],[Bonus]]</f>
        <v>70827</v>
      </c>
    </row>
    <row r="1477" spans="1:11" x14ac:dyDescent="0.25">
      <c r="A1477">
        <v>2476</v>
      </c>
      <c r="B1477" t="s">
        <v>1517</v>
      </c>
      <c r="C1477" t="s">
        <v>9</v>
      </c>
      <c r="D1477" t="s">
        <v>15</v>
      </c>
      <c r="E1477" t="s">
        <v>17</v>
      </c>
      <c r="F1477" t="s">
        <v>22</v>
      </c>
      <c r="G1477">
        <v>44</v>
      </c>
      <c r="H1477" s="13">
        <v>40047</v>
      </c>
      <c r="I1477" s="13">
        <v>21259</v>
      </c>
      <c r="J1477" t="s">
        <v>25</v>
      </c>
      <c r="K1477" s="13">
        <f>HR_Data[[#This Row],[Salary]]+HR_Data[[#This Row],[Bonus]]</f>
        <v>61306</v>
      </c>
    </row>
    <row r="1478" spans="1:11" x14ac:dyDescent="0.25">
      <c r="A1478">
        <v>2477</v>
      </c>
      <c r="B1478" t="s">
        <v>1518</v>
      </c>
      <c r="C1478" t="s">
        <v>2042</v>
      </c>
      <c r="D1478" t="s">
        <v>15</v>
      </c>
      <c r="E1478" t="s">
        <v>17</v>
      </c>
      <c r="F1478" t="s">
        <v>22</v>
      </c>
      <c r="G1478">
        <v>34</v>
      </c>
      <c r="H1478" s="13">
        <v>96095</v>
      </c>
      <c r="I1478" s="13">
        <v>27099</v>
      </c>
      <c r="J1478" t="s">
        <v>26</v>
      </c>
      <c r="K1478" s="13">
        <f>HR_Data[[#This Row],[Salary]]+HR_Data[[#This Row],[Bonus]]</f>
        <v>123194</v>
      </c>
    </row>
    <row r="1479" spans="1:11" x14ac:dyDescent="0.25">
      <c r="A1479">
        <v>2478</v>
      </c>
      <c r="B1479" t="s">
        <v>1519</v>
      </c>
      <c r="C1479" t="s">
        <v>9</v>
      </c>
      <c r="D1479" t="s">
        <v>15</v>
      </c>
      <c r="E1479" t="s">
        <v>18</v>
      </c>
      <c r="F1479" t="s">
        <v>21</v>
      </c>
      <c r="G1479">
        <v>26</v>
      </c>
      <c r="H1479" s="13">
        <v>105693</v>
      </c>
      <c r="I1479" s="13">
        <v>14649</v>
      </c>
      <c r="J1479" t="s">
        <v>25</v>
      </c>
      <c r="K1479" s="13">
        <f>HR_Data[[#This Row],[Salary]]+HR_Data[[#This Row],[Bonus]]</f>
        <v>120342</v>
      </c>
    </row>
    <row r="1480" spans="1:11" x14ac:dyDescent="0.25">
      <c r="A1480">
        <v>2479</v>
      </c>
      <c r="B1480" t="s">
        <v>1520</v>
      </c>
      <c r="C1480" t="s">
        <v>10</v>
      </c>
      <c r="D1480" t="s">
        <v>14</v>
      </c>
      <c r="E1480" t="s">
        <v>17</v>
      </c>
      <c r="F1480" t="s">
        <v>23</v>
      </c>
      <c r="G1480">
        <v>25</v>
      </c>
      <c r="H1480" s="13">
        <v>92154</v>
      </c>
      <c r="I1480" s="13">
        <v>13269</v>
      </c>
      <c r="J1480" t="s">
        <v>26</v>
      </c>
      <c r="K1480" s="13">
        <f>HR_Data[[#This Row],[Salary]]+HR_Data[[#This Row],[Bonus]]</f>
        <v>105423</v>
      </c>
    </row>
    <row r="1481" spans="1:11" x14ac:dyDescent="0.25">
      <c r="A1481">
        <v>2480</v>
      </c>
      <c r="B1481" t="s">
        <v>1521</v>
      </c>
      <c r="C1481" t="s">
        <v>12</v>
      </c>
      <c r="D1481" t="s">
        <v>15</v>
      </c>
      <c r="E1481" t="s">
        <v>16</v>
      </c>
      <c r="F1481" t="s">
        <v>23</v>
      </c>
      <c r="G1481">
        <v>49</v>
      </c>
      <c r="H1481" s="13">
        <v>64891</v>
      </c>
      <c r="I1481" s="13">
        <v>16805</v>
      </c>
      <c r="J1481" t="s">
        <v>25</v>
      </c>
      <c r="K1481" s="13">
        <f>HR_Data[[#This Row],[Salary]]+HR_Data[[#This Row],[Bonus]]</f>
        <v>81696</v>
      </c>
    </row>
    <row r="1482" spans="1:11" x14ac:dyDescent="0.25">
      <c r="A1482">
        <v>2481</v>
      </c>
      <c r="B1482" t="s">
        <v>1522</v>
      </c>
      <c r="C1482" t="s">
        <v>10</v>
      </c>
      <c r="D1482" t="s">
        <v>14</v>
      </c>
      <c r="E1482" t="s">
        <v>18</v>
      </c>
      <c r="F1482" t="s">
        <v>23</v>
      </c>
      <c r="G1482">
        <v>35</v>
      </c>
      <c r="H1482" s="13">
        <v>26780</v>
      </c>
      <c r="I1482" s="13">
        <v>22692</v>
      </c>
      <c r="J1482" t="s">
        <v>25</v>
      </c>
      <c r="K1482" s="13">
        <f>HR_Data[[#This Row],[Salary]]+HR_Data[[#This Row],[Bonus]]</f>
        <v>49472</v>
      </c>
    </row>
    <row r="1483" spans="1:11" x14ac:dyDescent="0.25">
      <c r="A1483">
        <v>2482</v>
      </c>
      <c r="B1483" t="s">
        <v>1523</v>
      </c>
      <c r="C1483" t="s">
        <v>10</v>
      </c>
      <c r="D1483" t="s">
        <v>15</v>
      </c>
      <c r="E1483" t="s">
        <v>19</v>
      </c>
      <c r="F1483" t="s">
        <v>22</v>
      </c>
      <c r="G1483">
        <v>29</v>
      </c>
      <c r="H1483" s="13">
        <v>47050</v>
      </c>
      <c r="I1483" s="13">
        <v>15379</v>
      </c>
      <c r="J1483" t="s">
        <v>25</v>
      </c>
      <c r="K1483" s="13">
        <f>HR_Data[[#This Row],[Salary]]+HR_Data[[#This Row],[Bonus]]</f>
        <v>62429</v>
      </c>
    </row>
    <row r="1484" spans="1:11" x14ac:dyDescent="0.25">
      <c r="A1484">
        <v>2483</v>
      </c>
      <c r="B1484" t="s">
        <v>1524</v>
      </c>
      <c r="C1484" t="s">
        <v>2042</v>
      </c>
      <c r="D1484" t="s">
        <v>14</v>
      </c>
      <c r="E1484" t="s">
        <v>18</v>
      </c>
      <c r="F1484" t="s">
        <v>24</v>
      </c>
      <c r="G1484">
        <v>30</v>
      </c>
      <c r="H1484" s="13">
        <v>93551</v>
      </c>
      <c r="I1484" s="13">
        <v>13744</v>
      </c>
      <c r="J1484" t="s">
        <v>25</v>
      </c>
      <c r="K1484" s="13">
        <f>HR_Data[[#This Row],[Salary]]+HR_Data[[#This Row],[Bonus]]</f>
        <v>107295</v>
      </c>
    </row>
    <row r="1485" spans="1:11" x14ac:dyDescent="0.25">
      <c r="A1485">
        <v>2484</v>
      </c>
      <c r="B1485" t="s">
        <v>1525</v>
      </c>
      <c r="C1485" t="s">
        <v>12</v>
      </c>
      <c r="D1485" t="s">
        <v>14</v>
      </c>
      <c r="E1485" t="s">
        <v>20</v>
      </c>
      <c r="F1485" t="s">
        <v>24</v>
      </c>
      <c r="G1485">
        <v>56</v>
      </c>
      <c r="H1485" s="13">
        <v>88666</v>
      </c>
      <c r="I1485" s="13">
        <v>18285</v>
      </c>
      <c r="J1485" t="s">
        <v>26</v>
      </c>
      <c r="K1485" s="13">
        <f>HR_Data[[#This Row],[Salary]]+HR_Data[[#This Row],[Bonus]]</f>
        <v>106951</v>
      </c>
    </row>
    <row r="1486" spans="1:11" x14ac:dyDescent="0.25">
      <c r="A1486">
        <v>2485</v>
      </c>
      <c r="B1486" t="s">
        <v>1526</v>
      </c>
      <c r="C1486" t="s">
        <v>12</v>
      </c>
      <c r="D1486" t="s">
        <v>14</v>
      </c>
      <c r="E1486" t="s">
        <v>19</v>
      </c>
      <c r="F1486" t="s">
        <v>24</v>
      </c>
      <c r="G1486">
        <v>58</v>
      </c>
      <c r="H1486" s="13">
        <v>113619</v>
      </c>
      <c r="I1486" s="13">
        <v>13473</v>
      </c>
      <c r="J1486" t="s">
        <v>25</v>
      </c>
      <c r="K1486" s="13">
        <f>HR_Data[[#This Row],[Salary]]+HR_Data[[#This Row],[Bonus]]</f>
        <v>127092</v>
      </c>
    </row>
    <row r="1487" spans="1:11" x14ac:dyDescent="0.25">
      <c r="A1487">
        <v>2486</v>
      </c>
      <c r="B1487" t="s">
        <v>1527</v>
      </c>
      <c r="C1487" t="s">
        <v>12</v>
      </c>
      <c r="D1487" t="s">
        <v>15</v>
      </c>
      <c r="E1487" t="s">
        <v>20</v>
      </c>
      <c r="F1487" t="s">
        <v>24</v>
      </c>
      <c r="G1487">
        <v>42</v>
      </c>
      <c r="H1487" s="13">
        <v>102016</v>
      </c>
      <c r="I1487" s="13">
        <v>15679</v>
      </c>
      <c r="J1487" t="s">
        <v>25</v>
      </c>
      <c r="K1487" s="13">
        <f>HR_Data[[#This Row],[Salary]]+HR_Data[[#This Row],[Bonus]]</f>
        <v>117695</v>
      </c>
    </row>
    <row r="1488" spans="1:11" x14ac:dyDescent="0.25">
      <c r="A1488">
        <v>2487</v>
      </c>
      <c r="B1488" t="s">
        <v>1528</v>
      </c>
      <c r="C1488" t="s">
        <v>12</v>
      </c>
      <c r="D1488" t="s">
        <v>15</v>
      </c>
      <c r="E1488" t="s">
        <v>19</v>
      </c>
      <c r="F1488" t="s">
        <v>24</v>
      </c>
      <c r="G1488">
        <v>39</v>
      </c>
      <c r="H1488" s="13">
        <v>73010</v>
      </c>
      <c r="I1488" s="13">
        <v>19605</v>
      </c>
      <c r="J1488" t="s">
        <v>25</v>
      </c>
      <c r="K1488" s="13">
        <f>HR_Data[[#This Row],[Salary]]+HR_Data[[#This Row],[Bonus]]</f>
        <v>92615</v>
      </c>
    </row>
    <row r="1489" spans="1:11" x14ac:dyDescent="0.25">
      <c r="A1489">
        <v>2488</v>
      </c>
      <c r="B1489" t="s">
        <v>1529</v>
      </c>
      <c r="C1489" t="s">
        <v>12</v>
      </c>
      <c r="D1489" t="s">
        <v>14</v>
      </c>
      <c r="E1489" t="s">
        <v>17</v>
      </c>
      <c r="F1489" t="s">
        <v>22</v>
      </c>
      <c r="G1489">
        <v>54</v>
      </c>
      <c r="H1489" s="13">
        <v>58165</v>
      </c>
      <c r="I1489" s="13">
        <v>15985</v>
      </c>
      <c r="J1489" t="s">
        <v>26</v>
      </c>
      <c r="K1489" s="13">
        <f>HR_Data[[#This Row],[Salary]]+HR_Data[[#This Row],[Bonus]]</f>
        <v>74150</v>
      </c>
    </row>
    <row r="1490" spans="1:11" x14ac:dyDescent="0.25">
      <c r="A1490">
        <v>2489</v>
      </c>
      <c r="B1490" t="s">
        <v>1530</v>
      </c>
      <c r="C1490" t="s">
        <v>2042</v>
      </c>
      <c r="D1490" t="s">
        <v>14</v>
      </c>
      <c r="E1490" t="s">
        <v>18</v>
      </c>
      <c r="F1490" t="s">
        <v>22</v>
      </c>
      <c r="G1490">
        <v>29</v>
      </c>
      <c r="H1490" s="13">
        <v>31528</v>
      </c>
      <c r="I1490" s="13">
        <v>17391</v>
      </c>
      <c r="J1490" t="s">
        <v>25</v>
      </c>
      <c r="K1490" s="13">
        <f>HR_Data[[#This Row],[Salary]]+HR_Data[[#This Row],[Bonus]]</f>
        <v>48919</v>
      </c>
    </row>
    <row r="1491" spans="1:11" x14ac:dyDescent="0.25">
      <c r="A1491">
        <v>2490</v>
      </c>
      <c r="B1491" t="s">
        <v>1531</v>
      </c>
      <c r="C1491" t="s">
        <v>9</v>
      </c>
      <c r="D1491" t="s">
        <v>15</v>
      </c>
      <c r="E1491" t="s">
        <v>16</v>
      </c>
      <c r="F1491" t="s">
        <v>24</v>
      </c>
      <c r="G1491">
        <v>38</v>
      </c>
      <c r="H1491" s="13">
        <v>69608</v>
      </c>
      <c r="I1491" s="13">
        <v>9861</v>
      </c>
      <c r="J1491" t="s">
        <v>26</v>
      </c>
      <c r="K1491" s="13">
        <f>HR_Data[[#This Row],[Salary]]+HR_Data[[#This Row],[Bonus]]</f>
        <v>79469</v>
      </c>
    </row>
    <row r="1492" spans="1:11" x14ac:dyDescent="0.25">
      <c r="A1492">
        <v>2491</v>
      </c>
      <c r="B1492" t="s">
        <v>1532</v>
      </c>
      <c r="C1492" t="s">
        <v>10</v>
      </c>
      <c r="D1492" t="s">
        <v>15</v>
      </c>
      <c r="E1492" t="s">
        <v>19</v>
      </c>
      <c r="F1492" t="s">
        <v>22</v>
      </c>
      <c r="G1492">
        <v>52</v>
      </c>
      <c r="H1492" s="13">
        <v>25914</v>
      </c>
      <c r="I1492" s="13">
        <v>24160</v>
      </c>
      <c r="J1492" t="s">
        <v>25</v>
      </c>
      <c r="K1492" s="13">
        <f>HR_Data[[#This Row],[Salary]]+HR_Data[[#This Row],[Bonus]]</f>
        <v>50074</v>
      </c>
    </row>
    <row r="1493" spans="1:11" x14ac:dyDescent="0.25">
      <c r="A1493">
        <v>2492</v>
      </c>
      <c r="B1493" t="s">
        <v>1533</v>
      </c>
      <c r="C1493" t="s">
        <v>12</v>
      </c>
      <c r="D1493" t="s">
        <v>14</v>
      </c>
      <c r="E1493" t="s">
        <v>19</v>
      </c>
      <c r="F1493" t="s">
        <v>22</v>
      </c>
      <c r="G1493">
        <v>55</v>
      </c>
      <c r="H1493" s="13">
        <v>57136</v>
      </c>
      <c r="I1493" s="13">
        <v>6596</v>
      </c>
      <c r="J1493" t="s">
        <v>26</v>
      </c>
      <c r="K1493" s="13">
        <f>HR_Data[[#This Row],[Salary]]+HR_Data[[#This Row],[Bonus]]</f>
        <v>63732</v>
      </c>
    </row>
    <row r="1494" spans="1:11" x14ac:dyDescent="0.25">
      <c r="A1494">
        <v>2493</v>
      </c>
      <c r="B1494" t="s">
        <v>1534</v>
      </c>
      <c r="C1494" t="s">
        <v>9</v>
      </c>
      <c r="D1494" t="s">
        <v>15</v>
      </c>
      <c r="E1494" t="s">
        <v>20</v>
      </c>
      <c r="F1494" t="s">
        <v>24</v>
      </c>
      <c r="G1494">
        <v>27</v>
      </c>
      <c r="H1494" s="13">
        <v>31179</v>
      </c>
      <c r="I1494" s="13">
        <v>21863</v>
      </c>
      <c r="J1494" t="s">
        <v>27</v>
      </c>
      <c r="K1494" s="13">
        <f>HR_Data[[#This Row],[Salary]]+HR_Data[[#This Row],[Bonus]]</f>
        <v>53042</v>
      </c>
    </row>
    <row r="1495" spans="1:11" x14ac:dyDescent="0.25">
      <c r="A1495">
        <v>2494</v>
      </c>
      <c r="B1495" t="s">
        <v>1535</v>
      </c>
      <c r="C1495" t="s">
        <v>9</v>
      </c>
      <c r="D1495" t="s">
        <v>15</v>
      </c>
      <c r="E1495" t="s">
        <v>17</v>
      </c>
      <c r="F1495" t="s">
        <v>23</v>
      </c>
      <c r="G1495">
        <v>43</v>
      </c>
      <c r="H1495" s="13">
        <v>106008</v>
      </c>
      <c r="I1495" s="13">
        <v>24696</v>
      </c>
      <c r="J1495" t="s">
        <v>26</v>
      </c>
      <c r="K1495" s="13">
        <f>HR_Data[[#This Row],[Salary]]+HR_Data[[#This Row],[Bonus]]</f>
        <v>130704</v>
      </c>
    </row>
    <row r="1496" spans="1:11" x14ac:dyDescent="0.25">
      <c r="A1496">
        <v>2495</v>
      </c>
      <c r="B1496" t="s">
        <v>1536</v>
      </c>
      <c r="C1496" t="s">
        <v>10</v>
      </c>
      <c r="D1496" t="s">
        <v>15</v>
      </c>
      <c r="E1496" t="s">
        <v>20</v>
      </c>
      <c r="F1496" t="s">
        <v>22</v>
      </c>
      <c r="G1496">
        <v>35</v>
      </c>
      <c r="H1496" s="13">
        <v>32076</v>
      </c>
      <c r="I1496" s="13">
        <v>27540</v>
      </c>
      <c r="J1496" t="s">
        <v>25</v>
      </c>
      <c r="K1496" s="13">
        <f>HR_Data[[#This Row],[Salary]]+HR_Data[[#This Row],[Bonus]]</f>
        <v>59616</v>
      </c>
    </row>
    <row r="1497" spans="1:11" x14ac:dyDescent="0.25">
      <c r="A1497">
        <v>2496</v>
      </c>
      <c r="B1497" t="s">
        <v>1537</v>
      </c>
      <c r="C1497" t="s">
        <v>2042</v>
      </c>
      <c r="D1497" t="s">
        <v>15</v>
      </c>
      <c r="E1497" t="s">
        <v>20</v>
      </c>
      <c r="F1497" t="s">
        <v>23</v>
      </c>
      <c r="G1497">
        <v>24</v>
      </c>
      <c r="H1497" s="13">
        <v>44783</v>
      </c>
      <c r="I1497" s="13">
        <v>15155</v>
      </c>
      <c r="J1497" t="s">
        <v>25</v>
      </c>
      <c r="K1497" s="13">
        <f>HR_Data[[#This Row],[Salary]]+HR_Data[[#This Row],[Bonus]]</f>
        <v>59938</v>
      </c>
    </row>
    <row r="1498" spans="1:11" x14ac:dyDescent="0.25">
      <c r="A1498">
        <v>2497</v>
      </c>
      <c r="B1498" t="s">
        <v>1538</v>
      </c>
      <c r="C1498" t="s">
        <v>8</v>
      </c>
      <c r="D1498" t="s">
        <v>14</v>
      </c>
      <c r="E1498" t="s">
        <v>17</v>
      </c>
      <c r="F1498" t="s">
        <v>22</v>
      </c>
      <c r="G1498">
        <v>33</v>
      </c>
      <c r="H1498" s="13">
        <v>66716</v>
      </c>
      <c r="I1498" s="13">
        <v>12919</v>
      </c>
      <c r="J1498" t="s">
        <v>25</v>
      </c>
      <c r="K1498" s="13">
        <f>HR_Data[[#This Row],[Salary]]+HR_Data[[#This Row],[Bonus]]</f>
        <v>79635</v>
      </c>
    </row>
    <row r="1499" spans="1:11" x14ac:dyDescent="0.25">
      <c r="A1499">
        <v>2498</v>
      </c>
      <c r="B1499" t="s">
        <v>1539</v>
      </c>
      <c r="C1499" t="s">
        <v>8</v>
      </c>
      <c r="D1499" t="s">
        <v>15</v>
      </c>
      <c r="E1499" t="s">
        <v>16</v>
      </c>
      <c r="F1499" t="s">
        <v>22</v>
      </c>
      <c r="G1499">
        <v>57</v>
      </c>
      <c r="H1499" s="13">
        <v>70298</v>
      </c>
      <c r="I1499" s="13">
        <v>28128</v>
      </c>
      <c r="J1499" t="s">
        <v>25</v>
      </c>
      <c r="K1499" s="13">
        <f>HR_Data[[#This Row],[Salary]]+HR_Data[[#This Row],[Bonus]]</f>
        <v>98426</v>
      </c>
    </row>
    <row r="1500" spans="1:11" x14ac:dyDescent="0.25">
      <c r="A1500">
        <v>2499</v>
      </c>
      <c r="B1500" t="s">
        <v>1540</v>
      </c>
      <c r="C1500" t="s">
        <v>9</v>
      </c>
      <c r="D1500" t="s">
        <v>15</v>
      </c>
      <c r="E1500" t="s">
        <v>20</v>
      </c>
      <c r="F1500" t="s">
        <v>24</v>
      </c>
      <c r="G1500">
        <v>33</v>
      </c>
      <c r="H1500" s="13">
        <v>69554.53</v>
      </c>
      <c r="I1500" s="13">
        <v>15334</v>
      </c>
      <c r="J1500" t="s">
        <v>25</v>
      </c>
      <c r="K1500" s="13">
        <f>HR_Data[[#This Row],[Salary]]+HR_Data[[#This Row],[Bonus]]</f>
        <v>84888.53</v>
      </c>
    </row>
    <row r="1501" spans="1:11" x14ac:dyDescent="0.25">
      <c r="A1501">
        <v>2500</v>
      </c>
      <c r="B1501" t="s">
        <v>1541</v>
      </c>
      <c r="C1501" t="s">
        <v>11</v>
      </c>
      <c r="D1501" t="s">
        <v>14</v>
      </c>
      <c r="E1501" t="s">
        <v>20</v>
      </c>
      <c r="F1501" t="s">
        <v>22</v>
      </c>
      <c r="G1501">
        <v>23</v>
      </c>
      <c r="H1501" s="13">
        <v>99360</v>
      </c>
      <c r="I1501" s="13">
        <v>25282</v>
      </c>
      <c r="J1501" t="s">
        <v>25</v>
      </c>
      <c r="K1501" s="13">
        <f>HR_Data[[#This Row],[Salary]]+HR_Data[[#This Row],[Bonus]]</f>
        <v>124642</v>
      </c>
    </row>
    <row r="1502" spans="1:11" x14ac:dyDescent="0.25">
      <c r="A1502">
        <v>2501</v>
      </c>
      <c r="B1502" t="s">
        <v>1542</v>
      </c>
      <c r="C1502" t="s">
        <v>11</v>
      </c>
      <c r="D1502" t="s">
        <v>14</v>
      </c>
      <c r="E1502" t="s">
        <v>19</v>
      </c>
      <c r="F1502" t="s">
        <v>21</v>
      </c>
      <c r="G1502">
        <v>23</v>
      </c>
      <c r="H1502" s="13">
        <v>89835</v>
      </c>
      <c r="I1502" s="13">
        <v>19628</v>
      </c>
      <c r="J1502" t="s">
        <v>25</v>
      </c>
      <c r="K1502" s="13">
        <f>HR_Data[[#This Row],[Salary]]+HR_Data[[#This Row],[Bonus]]</f>
        <v>109463</v>
      </c>
    </row>
    <row r="1503" spans="1:11" x14ac:dyDescent="0.25">
      <c r="A1503">
        <v>2502</v>
      </c>
      <c r="B1503" t="s">
        <v>1543</v>
      </c>
      <c r="C1503" t="s">
        <v>10</v>
      </c>
      <c r="D1503" t="s">
        <v>15</v>
      </c>
      <c r="E1503" t="s">
        <v>17</v>
      </c>
      <c r="F1503" t="s">
        <v>21</v>
      </c>
      <c r="G1503">
        <v>36</v>
      </c>
      <c r="H1503" s="13">
        <v>28118</v>
      </c>
      <c r="I1503" s="13">
        <v>7072</v>
      </c>
      <c r="J1503" t="s">
        <v>26</v>
      </c>
      <c r="K1503" s="13">
        <f>HR_Data[[#This Row],[Salary]]+HR_Data[[#This Row],[Bonus]]</f>
        <v>35190</v>
      </c>
    </row>
    <row r="1504" spans="1:11" x14ac:dyDescent="0.25">
      <c r="A1504">
        <v>2503</v>
      </c>
      <c r="B1504" t="s">
        <v>1544</v>
      </c>
      <c r="C1504" t="s">
        <v>8</v>
      </c>
      <c r="D1504" t="s">
        <v>15</v>
      </c>
      <c r="E1504" t="s">
        <v>18</v>
      </c>
      <c r="F1504" t="s">
        <v>24</v>
      </c>
      <c r="G1504">
        <v>44</v>
      </c>
      <c r="H1504" s="13">
        <v>69554.53</v>
      </c>
      <c r="I1504" s="13">
        <v>14487</v>
      </c>
      <c r="J1504" t="s">
        <v>25</v>
      </c>
      <c r="K1504" s="13">
        <f>HR_Data[[#This Row],[Salary]]+HR_Data[[#This Row],[Bonus]]</f>
        <v>84041.53</v>
      </c>
    </row>
    <row r="1505" spans="1:11" x14ac:dyDescent="0.25">
      <c r="A1505">
        <v>2504</v>
      </c>
      <c r="B1505" t="s">
        <v>1545</v>
      </c>
      <c r="C1505" t="s">
        <v>9</v>
      </c>
      <c r="D1505" t="s">
        <v>15</v>
      </c>
      <c r="E1505" t="s">
        <v>16</v>
      </c>
      <c r="F1505" t="s">
        <v>23</v>
      </c>
      <c r="G1505">
        <v>50</v>
      </c>
      <c r="H1505" s="13">
        <v>76911</v>
      </c>
      <c r="I1505" s="13">
        <v>10624</v>
      </c>
      <c r="J1505" t="s">
        <v>25</v>
      </c>
      <c r="K1505" s="13">
        <f>HR_Data[[#This Row],[Salary]]+HR_Data[[#This Row],[Bonus]]</f>
        <v>87535</v>
      </c>
    </row>
    <row r="1506" spans="1:11" x14ac:dyDescent="0.25">
      <c r="A1506">
        <v>2505</v>
      </c>
      <c r="B1506" t="s">
        <v>1546</v>
      </c>
      <c r="C1506" t="s">
        <v>2042</v>
      </c>
      <c r="D1506" t="s">
        <v>15</v>
      </c>
      <c r="E1506" t="s">
        <v>16</v>
      </c>
      <c r="F1506" t="s">
        <v>23</v>
      </c>
      <c r="G1506">
        <v>38</v>
      </c>
      <c r="H1506" s="13">
        <v>93489</v>
      </c>
      <c r="I1506" s="13">
        <v>5938</v>
      </c>
      <c r="J1506" t="s">
        <v>26</v>
      </c>
      <c r="K1506" s="13">
        <f>HR_Data[[#This Row],[Salary]]+HR_Data[[#This Row],[Bonus]]</f>
        <v>99427</v>
      </c>
    </row>
    <row r="1507" spans="1:11" x14ac:dyDescent="0.25">
      <c r="A1507">
        <v>2506</v>
      </c>
      <c r="B1507" t="s">
        <v>1547</v>
      </c>
      <c r="C1507" t="s">
        <v>8</v>
      </c>
      <c r="D1507" t="s">
        <v>14</v>
      </c>
      <c r="E1507" t="s">
        <v>17</v>
      </c>
      <c r="F1507" t="s">
        <v>23</v>
      </c>
      <c r="G1507">
        <v>53</v>
      </c>
      <c r="H1507" s="13">
        <v>35185</v>
      </c>
      <c r="I1507" s="13">
        <v>13176</v>
      </c>
      <c r="J1507" t="s">
        <v>26</v>
      </c>
      <c r="K1507" s="13">
        <f>HR_Data[[#This Row],[Salary]]+HR_Data[[#This Row],[Bonus]]</f>
        <v>48361</v>
      </c>
    </row>
    <row r="1508" spans="1:11" x14ac:dyDescent="0.25">
      <c r="A1508">
        <v>2507</v>
      </c>
      <c r="B1508" t="s">
        <v>1548</v>
      </c>
      <c r="C1508" t="s">
        <v>9</v>
      </c>
      <c r="D1508" t="s">
        <v>14</v>
      </c>
      <c r="E1508" t="s">
        <v>19</v>
      </c>
      <c r="F1508" t="s">
        <v>21</v>
      </c>
      <c r="G1508">
        <v>28</v>
      </c>
      <c r="H1508" s="13">
        <v>61792</v>
      </c>
      <c r="I1508" s="13">
        <v>5761</v>
      </c>
      <c r="J1508" t="s">
        <v>25</v>
      </c>
      <c r="K1508" s="13">
        <f>HR_Data[[#This Row],[Salary]]+HR_Data[[#This Row],[Bonus]]</f>
        <v>67553</v>
      </c>
    </row>
    <row r="1509" spans="1:11" x14ac:dyDescent="0.25">
      <c r="A1509">
        <v>2508</v>
      </c>
      <c r="B1509" t="s">
        <v>1549</v>
      </c>
      <c r="C1509" t="s">
        <v>9</v>
      </c>
      <c r="D1509" t="s">
        <v>14</v>
      </c>
      <c r="E1509" t="s">
        <v>19</v>
      </c>
      <c r="F1509" t="s">
        <v>23</v>
      </c>
      <c r="G1509">
        <v>51</v>
      </c>
      <c r="H1509" s="13">
        <v>100210</v>
      </c>
      <c r="I1509" s="13">
        <v>28638</v>
      </c>
      <c r="J1509" t="s">
        <v>25</v>
      </c>
      <c r="K1509" s="13">
        <f>HR_Data[[#This Row],[Salary]]+HR_Data[[#This Row],[Bonus]]</f>
        <v>128848</v>
      </c>
    </row>
    <row r="1510" spans="1:11" x14ac:dyDescent="0.25">
      <c r="A1510">
        <v>2509</v>
      </c>
      <c r="B1510" t="s">
        <v>1550</v>
      </c>
      <c r="C1510" t="s">
        <v>12</v>
      </c>
      <c r="D1510" t="s">
        <v>15</v>
      </c>
      <c r="E1510" t="s">
        <v>17</v>
      </c>
      <c r="F1510" t="s">
        <v>23</v>
      </c>
      <c r="G1510">
        <v>49</v>
      </c>
      <c r="H1510" s="13">
        <v>70613</v>
      </c>
      <c r="I1510" s="13">
        <v>17941</v>
      </c>
      <c r="J1510" t="s">
        <v>25</v>
      </c>
      <c r="K1510" s="13">
        <f>HR_Data[[#This Row],[Salary]]+HR_Data[[#This Row],[Bonus]]</f>
        <v>88554</v>
      </c>
    </row>
    <row r="1511" spans="1:11" x14ac:dyDescent="0.25">
      <c r="A1511">
        <v>2510</v>
      </c>
      <c r="B1511" t="s">
        <v>1551</v>
      </c>
      <c r="C1511" t="s">
        <v>2042</v>
      </c>
      <c r="D1511" t="s">
        <v>15</v>
      </c>
      <c r="E1511" t="s">
        <v>19</v>
      </c>
      <c r="F1511" t="s">
        <v>24</v>
      </c>
      <c r="G1511">
        <v>35</v>
      </c>
      <c r="H1511" s="13">
        <v>53927</v>
      </c>
      <c r="I1511" s="13">
        <v>6669</v>
      </c>
      <c r="J1511" t="s">
        <v>25</v>
      </c>
      <c r="K1511" s="13">
        <f>HR_Data[[#This Row],[Salary]]+HR_Data[[#This Row],[Bonus]]</f>
        <v>60596</v>
      </c>
    </row>
    <row r="1512" spans="1:11" x14ac:dyDescent="0.25">
      <c r="A1512">
        <v>2511</v>
      </c>
      <c r="B1512" t="s">
        <v>1552</v>
      </c>
      <c r="C1512" t="s">
        <v>12</v>
      </c>
      <c r="D1512" t="s">
        <v>15</v>
      </c>
      <c r="E1512" t="s">
        <v>16</v>
      </c>
      <c r="F1512" t="s">
        <v>23</v>
      </c>
      <c r="G1512">
        <v>51</v>
      </c>
      <c r="H1512" s="13">
        <v>20386</v>
      </c>
      <c r="I1512" s="13">
        <v>12128</v>
      </c>
      <c r="J1512" t="s">
        <v>25</v>
      </c>
      <c r="K1512" s="13">
        <f>HR_Data[[#This Row],[Salary]]+HR_Data[[#This Row],[Bonus]]</f>
        <v>32514</v>
      </c>
    </row>
    <row r="1513" spans="1:11" x14ac:dyDescent="0.25">
      <c r="A1513">
        <v>2512</v>
      </c>
      <c r="B1513" t="s">
        <v>1553</v>
      </c>
      <c r="C1513" t="s">
        <v>10</v>
      </c>
      <c r="D1513" t="s">
        <v>15</v>
      </c>
      <c r="E1513" t="s">
        <v>16</v>
      </c>
      <c r="F1513" t="s">
        <v>21</v>
      </c>
      <c r="G1513">
        <v>38</v>
      </c>
      <c r="H1513" s="13">
        <v>112153</v>
      </c>
      <c r="I1513" s="13">
        <v>25246</v>
      </c>
      <c r="J1513" t="s">
        <v>25</v>
      </c>
      <c r="K1513" s="13">
        <f>HR_Data[[#This Row],[Salary]]+HR_Data[[#This Row],[Bonus]]</f>
        <v>137399</v>
      </c>
    </row>
    <row r="1514" spans="1:11" x14ac:dyDescent="0.25">
      <c r="A1514">
        <v>2513</v>
      </c>
      <c r="B1514" t="s">
        <v>1554</v>
      </c>
      <c r="C1514" t="s">
        <v>12</v>
      </c>
      <c r="D1514" t="s">
        <v>14</v>
      </c>
      <c r="E1514" t="s">
        <v>18</v>
      </c>
      <c r="F1514" t="s">
        <v>21</v>
      </c>
      <c r="G1514">
        <v>53</v>
      </c>
      <c r="H1514" s="13">
        <v>92728</v>
      </c>
      <c r="I1514" s="13">
        <v>24069</v>
      </c>
      <c r="J1514" t="s">
        <v>26</v>
      </c>
      <c r="K1514" s="13">
        <f>HR_Data[[#This Row],[Salary]]+HR_Data[[#This Row],[Bonus]]</f>
        <v>116797</v>
      </c>
    </row>
    <row r="1515" spans="1:11" x14ac:dyDescent="0.25">
      <c r="A1515">
        <v>2514</v>
      </c>
      <c r="B1515" t="s">
        <v>1555</v>
      </c>
      <c r="C1515" t="s">
        <v>12</v>
      </c>
      <c r="D1515" t="s">
        <v>14</v>
      </c>
      <c r="E1515" t="s">
        <v>17</v>
      </c>
      <c r="F1515" t="s">
        <v>21</v>
      </c>
      <c r="G1515">
        <v>27</v>
      </c>
      <c r="H1515" s="13">
        <v>96281</v>
      </c>
      <c r="I1515" s="13">
        <v>17091</v>
      </c>
      <c r="J1515" t="s">
        <v>25</v>
      </c>
      <c r="K1515" s="13">
        <f>HR_Data[[#This Row],[Salary]]+HR_Data[[#This Row],[Bonus]]</f>
        <v>113372</v>
      </c>
    </row>
    <row r="1516" spans="1:11" x14ac:dyDescent="0.25">
      <c r="A1516">
        <v>2515</v>
      </c>
      <c r="B1516" t="s">
        <v>1556</v>
      </c>
      <c r="C1516" t="s">
        <v>8</v>
      </c>
      <c r="D1516" t="s">
        <v>15</v>
      </c>
      <c r="E1516" t="s">
        <v>20</v>
      </c>
      <c r="F1516" t="s">
        <v>24</v>
      </c>
      <c r="G1516">
        <v>45</v>
      </c>
      <c r="H1516" s="13">
        <v>50020</v>
      </c>
      <c r="I1516" s="13">
        <v>28018</v>
      </c>
      <c r="J1516" t="s">
        <v>25</v>
      </c>
      <c r="K1516" s="13">
        <f>HR_Data[[#This Row],[Salary]]+HR_Data[[#This Row],[Bonus]]</f>
        <v>78038</v>
      </c>
    </row>
    <row r="1517" spans="1:11" x14ac:dyDescent="0.25">
      <c r="A1517">
        <v>2516</v>
      </c>
      <c r="B1517" t="s">
        <v>1557</v>
      </c>
      <c r="C1517" t="s">
        <v>11</v>
      </c>
      <c r="D1517" t="s">
        <v>14</v>
      </c>
      <c r="E1517" t="s">
        <v>20</v>
      </c>
      <c r="F1517" t="s">
        <v>24</v>
      </c>
      <c r="G1517">
        <v>27</v>
      </c>
      <c r="H1517" s="13">
        <v>62678</v>
      </c>
      <c r="I1517" s="13">
        <v>23315</v>
      </c>
      <c r="J1517" t="s">
        <v>25</v>
      </c>
      <c r="K1517" s="13">
        <f>HR_Data[[#This Row],[Salary]]+HR_Data[[#This Row],[Bonus]]</f>
        <v>85993</v>
      </c>
    </row>
    <row r="1518" spans="1:11" x14ac:dyDescent="0.25">
      <c r="A1518">
        <v>2517</v>
      </c>
      <c r="B1518" t="s">
        <v>1558</v>
      </c>
      <c r="C1518" t="s">
        <v>9</v>
      </c>
      <c r="D1518" t="s">
        <v>15</v>
      </c>
      <c r="E1518" t="s">
        <v>18</v>
      </c>
      <c r="F1518" t="s">
        <v>22</v>
      </c>
      <c r="G1518">
        <v>48</v>
      </c>
      <c r="H1518" s="13">
        <v>106695</v>
      </c>
      <c r="I1518" s="13">
        <v>12308</v>
      </c>
      <c r="J1518" t="s">
        <v>25</v>
      </c>
      <c r="K1518" s="13">
        <f>HR_Data[[#This Row],[Salary]]+HR_Data[[#This Row],[Bonus]]</f>
        <v>119003</v>
      </c>
    </row>
    <row r="1519" spans="1:11" x14ac:dyDescent="0.25">
      <c r="A1519">
        <v>2518</v>
      </c>
      <c r="B1519" t="s">
        <v>1559</v>
      </c>
      <c r="C1519" t="s">
        <v>2042</v>
      </c>
      <c r="D1519" t="s">
        <v>15</v>
      </c>
      <c r="E1519" t="s">
        <v>18</v>
      </c>
      <c r="F1519" t="s">
        <v>23</v>
      </c>
      <c r="G1519">
        <v>39</v>
      </c>
      <c r="H1519" s="13">
        <v>81394</v>
      </c>
      <c r="I1519" s="13">
        <v>25323</v>
      </c>
      <c r="J1519" t="s">
        <v>25</v>
      </c>
      <c r="K1519" s="13">
        <f>HR_Data[[#This Row],[Salary]]+HR_Data[[#This Row],[Bonus]]</f>
        <v>106717</v>
      </c>
    </row>
    <row r="1520" spans="1:11" x14ac:dyDescent="0.25">
      <c r="A1520">
        <v>2519</v>
      </c>
      <c r="B1520" t="s">
        <v>1560</v>
      </c>
      <c r="C1520" t="s">
        <v>12</v>
      </c>
      <c r="D1520" t="s">
        <v>14</v>
      </c>
      <c r="E1520" t="s">
        <v>19</v>
      </c>
      <c r="F1520" t="s">
        <v>24</v>
      </c>
      <c r="G1520">
        <v>45</v>
      </c>
      <c r="H1520" s="13">
        <v>88945</v>
      </c>
      <c r="I1520" s="13">
        <v>6126</v>
      </c>
      <c r="J1520" t="s">
        <v>26</v>
      </c>
      <c r="K1520" s="13">
        <f>HR_Data[[#This Row],[Salary]]+HR_Data[[#This Row],[Bonus]]</f>
        <v>95071</v>
      </c>
    </row>
    <row r="1521" spans="1:11" x14ac:dyDescent="0.25">
      <c r="A1521">
        <v>2520</v>
      </c>
      <c r="B1521" t="s">
        <v>1561</v>
      </c>
      <c r="C1521" t="s">
        <v>2042</v>
      </c>
      <c r="D1521" t="s">
        <v>15</v>
      </c>
      <c r="E1521" t="s">
        <v>18</v>
      </c>
      <c r="F1521" t="s">
        <v>21</v>
      </c>
      <c r="G1521">
        <v>58</v>
      </c>
      <c r="H1521" s="13">
        <v>76414</v>
      </c>
      <c r="I1521" s="13">
        <v>11021</v>
      </c>
      <c r="J1521" t="s">
        <v>25</v>
      </c>
      <c r="K1521" s="13">
        <f>HR_Data[[#This Row],[Salary]]+HR_Data[[#This Row],[Bonus]]</f>
        <v>87435</v>
      </c>
    </row>
    <row r="1522" spans="1:11" x14ac:dyDescent="0.25">
      <c r="A1522">
        <v>2521</v>
      </c>
      <c r="B1522" t="s">
        <v>1562</v>
      </c>
      <c r="C1522" t="s">
        <v>11</v>
      </c>
      <c r="D1522" t="s">
        <v>15</v>
      </c>
      <c r="E1522" t="s">
        <v>18</v>
      </c>
      <c r="F1522" t="s">
        <v>21</v>
      </c>
      <c r="G1522">
        <v>45</v>
      </c>
      <c r="H1522" s="13">
        <v>74816</v>
      </c>
      <c r="I1522" s="13">
        <v>11437</v>
      </c>
      <c r="J1522" t="s">
        <v>25</v>
      </c>
      <c r="K1522" s="13">
        <f>HR_Data[[#This Row],[Salary]]+HR_Data[[#This Row],[Bonus]]</f>
        <v>86253</v>
      </c>
    </row>
    <row r="1523" spans="1:11" x14ac:dyDescent="0.25">
      <c r="A1523">
        <v>2522</v>
      </c>
      <c r="B1523" t="s">
        <v>1563</v>
      </c>
      <c r="C1523" t="s">
        <v>11</v>
      </c>
      <c r="D1523" t="s">
        <v>14</v>
      </c>
      <c r="E1523" t="s">
        <v>20</v>
      </c>
      <c r="F1523" t="s">
        <v>24</v>
      </c>
      <c r="G1523">
        <v>59</v>
      </c>
      <c r="H1523" s="13">
        <v>75918</v>
      </c>
      <c r="I1523" s="13">
        <v>12039</v>
      </c>
      <c r="J1523" t="s">
        <v>25</v>
      </c>
      <c r="K1523" s="13">
        <f>HR_Data[[#This Row],[Salary]]+HR_Data[[#This Row],[Bonus]]</f>
        <v>87957</v>
      </c>
    </row>
    <row r="1524" spans="1:11" x14ac:dyDescent="0.25">
      <c r="A1524">
        <v>2523</v>
      </c>
      <c r="B1524" t="s">
        <v>1564</v>
      </c>
      <c r="C1524" t="s">
        <v>12</v>
      </c>
      <c r="D1524" t="s">
        <v>15</v>
      </c>
      <c r="E1524" t="s">
        <v>19</v>
      </c>
      <c r="F1524" t="s">
        <v>24</v>
      </c>
      <c r="G1524">
        <v>55</v>
      </c>
      <c r="H1524" s="13">
        <v>111281</v>
      </c>
      <c r="I1524" s="13">
        <v>26757</v>
      </c>
      <c r="J1524" t="s">
        <v>25</v>
      </c>
      <c r="K1524" s="13">
        <f>HR_Data[[#This Row],[Salary]]+HR_Data[[#This Row],[Bonus]]</f>
        <v>138038</v>
      </c>
    </row>
    <row r="1525" spans="1:11" x14ac:dyDescent="0.25">
      <c r="A1525">
        <v>2524</v>
      </c>
      <c r="B1525" t="s">
        <v>1565</v>
      </c>
      <c r="C1525" t="s">
        <v>10</v>
      </c>
      <c r="D1525" t="s">
        <v>15</v>
      </c>
      <c r="E1525" t="s">
        <v>18</v>
      </c>
      <c r="F1525" t="s">
        <v>24</v>
      </c>
      <c r="G1525">
        <v>36</v>
      </c>
      <c r="H1525" s="13">
        <v>82694</v>
      </c>
      <c r="I1525" s="13">
        <v>22587</v>
      </c>
      <c r="J1525" t="s">
        <v>26</v>
      </c>
      <c r="K1525" s="13">
        <f>HR_Data[[#This Row],[Salary]]+HR_Data[[#This Row],[Bonus]]</f>
        <v>105281</v>
      </c>
    </row>
    <row r="1526" spans="1:11" x14ac:dyDescent="0.25">
      <c r="A1526">
        <v>2525</v>
      </c>
      <c r="B1526" t="s">
        <v>1566</v>
      </c>
      <c r="C1526" t="s">
        <v>12</v>
      </c>
      <c r="D1526" t="s">
        <v>14</v>
      </c>
      <c r="E1526" t="s">
        <v>18</v>
      </c>
      <c r="F1526" t="s">
        <v>22</v>
      </c>
      <c r="G1526">
        <v>32</v>
      </c>
      <c r="H1526" s="13">
        <v>49455</v>
      </c>
      <c r="I1526" s="13">
        <v>9135</v>
      </c>
      <c r="J1526" t="s">
        <v>25</v>
      </c>
      <c r="K1526" s="13">
        <f>HR_Data[[#This Row],[Salary]]+HR_Data[[#This Row],[Bonus]]</f>
        <v>58590</v>
      </c>
    </row>
    <row r="1527" spans="1:11" x14ac:dyDescent="0.25">
      <c r="A1527">
        <v>2526</v>
      </c>
      <c r="B1527" t="s">
        <v>1567</v>
      </c>
      <c r="C1527" t="s">
        <v>8</v>
      </c>
      <c r="D1527" t="s">
        <v>27</v>
      </c>
      <c r="E1527" t="s">
        <v>19</v>
      </c>
      <c r="F1527" t="s">
        <v>21</v>
      </c>
      <c r="G1527">
        <v>43</v>
      </c>
      <c r="H1527" s="13">
        <v>58735</v>
      </c>
      <c r="I1527" s="13">
        <v>20111</v>
      </c>
      <c r="J1527" t="s">
        <v>25</v>
      </c>
      <c r="K1527" s="13">
        <f>HR_Data[[#This Row],[Salary]]+HR_Data[[#This Row],[Bonus]]</f>
        <v>78846</v>
      </c>
    </row>
    <row r="1528" spans="1:11" x14ac:dyDescent="0.25">
      <c r="A1528">
        <v>2527</v>
      </c>
      <c r="B1528" t="s">
        <v>1568</v>
      </c>
      <c r="C1528" t="s">
        <v>9</v>
      </c>
      <c r="D1528" t="s">
        <v>14</v>
      </c>
      <c r="E1528" t="s">
        <v>17</v>
      </c>
      <c r="F1528" t="s">
        <v>22</v>
      </c>
      <c r="G1528">
        <v>45</v>
      </c>
      <c r="H1528" s="13">
        <v>114702</v>
      </c>
      <c r="I1528" s="13">
        <v>16964</v>
      </c>
      <c r="J1528" t="s">
        <v>25</v>
      </c>
      <c r="K1528" s="13">
        <f>HR_Data[[#This Row],[Salary]]+HR_Data[[#This Row],[Bonus]]</f>
        <v>131666</v>
      </c>
    </row>
    <row r="1529" spans="1:11" x14ac:dyDescent="0.25">
      <c r="A1529">
        <v>2528</v>
      </c>
      <c r="B1529" t="s">
        <v>1569</v>
      </c>
      <c r="C1529" t="s">
        <v>10</v>
      </c>
      <c r="D1529" t="s">
        <v>15</v>
      </c>
      <c r="E1529" t="s">
        <v>19</v>
      </c>
      <c r="F1529" t="s">
        <v>22</v>
      </c>
      <c r="G1529">
        <v>22</v>
      </c>
      <c r="H1529" s="13">
        <v>69554.53</v>
      </c>
      <c r="I1529" s="13">
        <v>13711</v>
      </c>
      <c r="J1529" t="s">
        <v>25</v>
      </c>
      <c r="K1529" s="13">
        <f>HR_Data[[#This Row],[Salary]]+HR_Data[[#This Row],[Bonus]]</f>
        <v>83265.53</v>
      </c>
    </row>
    <row r="1530" spans="1:11" x14ac:dyDescent="0.25">
      <c r="A1530">
        <v>2529</v>
      </c>
      <c r="B1530" t="s">
        <v>1570</v>
      </c>
      <c r="C1530" t="s">
        <v>12</v>
      </c>
      <c r="D1530" t="s">
        <v>14</v>
      </c>
      <c r="E1530" t="s">
        <v>20</v>
      </c>
      <c r="F1530" t="s">
        <v>23</v>
      </c>
      <c r="G1530">
        <v>39</v>
      </c>
      <c r="H1530" s="13">
        <v>32109</v>
      </c>
      <c r="I1530" s="13">
        <v>12904</v>
      </c>
      <c r="J1530" t="s">
        <v>25</v>
      </c>
      <c r="K1530" s="13">
        <f>HR_Data[[#This Row],[Salary]]+HR_Data[[#This Row],[Bonus]]</f>
        <v>45013</v>
      </c>
    </row>
    <row r="1531" spans="1:11" x14ac:dyDescent="0.25">
      <c r="A1531">
        <v>2530</v>
      </c>
      <c r="B1531" t="s">
        <v>1571</v>
      </c>
      <c r="C1531" t="s">
        <v>2042</v>
      </c>
      <c r="D1531" t="s">
        <v>14</v>
      </c>
      <c r="E1531" t="s">
        <v>17</v>
      </c>
      <c r="F1531" t="s">
        <v>21</v>
      </c>
      <c r="G1531">
        <v>33</v>
      </c>
      <c r="H1531" s="13">
        <v>65802</v>
      </c>
      <c r="I1531" s="13">
        <v>7283</v>
      </c>
      <c r="J1531" t="s">
        <v>25</v>
      </c>
      <c r="K1531" s="13">
        <f>HR_Data[[#This Row],[Salary]]+HR_Data[[#This Row],[Bonus]]</f>
        <v>73085</v>
      </c>
    </row>
    <row r="1532" spans="1:11" x14ac:dyDescent="0.25">
      <c r="A1532">
        <v>2531</v>
      </c>
      <c r="B1532" t="s">
        <v>1572</v>
      </c>
      <c r="C1532" t="s">
        <v>10</v>
      </c>
      <c r="D1532" t="s">
        <v>14</v>
      </c>
      <c r="E1532" t="s">
        <v>16</v>
      </c>
      <c r="F1532" t="s">
        <v>21</v>
      </c>
      <c r="G1532">
        <v>49</v>
      </c>
      <c r="H1532" s="13">
        <v>88020</v>
      </c>
      <c r="I1532" s="13">
        <v>25942</v>
      </c>
      <c r="J1532" t="s">
        <v>25</v>
      </c>
      <c r="K1532" s="13">
        <f>HR_Data[[#This Row],[Salary]]+HR_Data[[#This Row],[Bonus]]</f>
        <v>113962</v>
      </c>
    </row>
    <row r="1533" spans="1:11" x14ac:dyDescent="0.25">
      <c r="A1533">
        <v>2532</v>
      </c>
      <c r="B1533" t="s">
        <v>1573</v>
      </c>
      <c r="C1533" t="s">
        <v>10</v>
      </c>
      <c r="D1533" t="s">
        <v>15</v>
      </c>
      <c r="E1533" t="s">
        <v>19</v>
      </c>
      <c r="F1533" t="s">
        <v>24</v>
      </c>
      <c r="G1533">
        <v>28</v>
      </c>
      <c r="H1533" s="13">
        <v>54622</v>
      </c>
      <c r="I1533" s="13">
        <v>26731</v>
      </c>
      <c r="J1533" t="s">
        <v>25</v>
      </c>
      <c r="K1533" s="13">
        <f>HR_Data[[#This Row],[Salary]]+HR_Data[[#This Row],[Bonus]]</f>
        <v>81353</v>
      </c>
    </row>
    <row r="1534" spans="1:11" x14ac:dyDescent="0.25">
      <c r="A1534">
        <v>2533</v>
      </c>
      <c r="B1534" t="s">
        <v>1574</v>
      </c>
      <c r="C1534" t="s">
        <v>12</v>
      </c>
      <c r="D1534" t="s">
        <v>14</v>
      </c>
      <c r="E1534" t="s">
        <v>20</v>
      </c>
      <c r="F1534" t="s">
        <v>24</v>
      </c>
      <c r="G1534">
        <v>44</v>
      </c>
      <c r="H1534" s="13">
        <v>22597</v>
      </c>
      <c r="I1534" s="13">
        <v>29251</v>
      </c>
      <c r="J1534" t="s">
        <v>25</v>
      </c>
      <c r="K1534" s="13">
        <f>HR_Data[[#This Row],[Salary]]+HR_Data[[#This Row],[Bonus]]</f>
        <v>51848</v>
      </c>
    </row>
    <row r="1535" spans="1:11" x14ac:dyDescent="0.25">
      <c r="A1535">
        <v>2534</v>
      </c>
      <c r="B1535" t="s">
        <v>1575</v>
      </c>
      <c r="C1535" t="s">
        <v>10</v>
      </c>
      <c r="D1535" t="s">
        <v>14</v>
      </c>
      <c r="E1535" t="s">
        <v>17</v>
      </c>
      <c r="F1535" t="s">
        <v>23</v>
      </c>
      <c r="G1535">
        <v>42</v>
      </c>
      <c r="H1535" s="13">
        <v>60597</v>
      </c>
      <c r="I1535" s="13">
        <v>27328</v>
      </c>
      <c r="J1535" t="s">
        <v>25</v>
      </c>
      <c r="K1535" s="13">
        <f>HR_Data[[#This Row],[Salary]]+HR_Data[[#This Row],[Bonus]]</f>
        <v>87925</v>
      </c>
    </row>
    <row r="1536" spans="1:11" x14ac:dyDescent="0.25">
      <c r="A1536">
        <v>2535</v>
      </c>
      <c r="B1536" t="s">
        <v>1576</v>
      </c>
      <c r="C1536" t="s">
        <v>2042</v>
      </c>
      <c r="D1536" t="s">
        <v>14</v>
      </c>
      <c r="E1536" t="s">
        <v>19</v>
      </c>
      <c r="F1536" t="s">
        <v>22</v>
      </c>
      <c r="G1536">
        <v>55</v>
      </c>
      <c r="H1536" s="13">
        <v>60954</v>
      </c>
      <c r="I1536" s="13">
        <v>7477</v>
      </c>
      <c r="J1536" t="s">
        <v>25</v>
      </c>
      <c r="K1536" s="13">
        <f>HR_Data[[#This Row],[Salary]]+HR_Data[[#This Row],[Bonus]]</f>
        <v>68431</v>
      </c>
    </row>
    <row r="1537" spans="1:11" x14ac:dyDescent="0.25">
      <c r="A1537">
        <v>2536</v>
      </c>
      <c r="B1537" t="s">
        <v>1577</v>
      </c>
      <c r="C1537" t="s">
        <v>11</v>
      </c>
      <c r="D1537" t="s">
        <v>14</v>
      </c>
      <c r="E1537" t="s">
        <v>18</v>
      </c>
      <c r="F1537" t="s">
        <v>24</v>
      </c>
      <c r="G1537">
        <v>32</v>
      </c>
      <c r="H1537" s="13">
        <v>89519</v>
      </c>
      <c r="I1537" s="13">
        <v>8093</v>
      </c>
      <c r="J1537" t="s">
        <v>25</v>
      </c>
      <c r="K1537" s="13">
        <f>HR_Data[[#This Row],[Salary]]+HR_Data[[#This Row],[Bonus]]</f>
        <v>97612</v>
      </c>
    </row>
    <row r="1538" spans="1:11" x14ac:dyDescent="0.25">
      <c r="A1538">
        <v>2537</v>
      </c>
      <c r="B1538" t="s">
        <v>1578</v>
      </c>
      <c r="C1538" t="s">
        <v>10</v>
      </c>
      <c r="D1538" t="s">
        <v>14</v>
      </c>
      <c r="E1538" t="s">
        <v>19</v>
      </c>
      <c r="F1538" t="s">
        <v>24</v>
      </c>
      <c r="G1538">
        <v>43</v>
      </c>
      <c r="H1538" s="13">
        <v>76115</v>
      </c>
      <c r="I1538" s="13">
        <v>29918</v>
      </c>
      <c r="J1538" t="s">
        <v>25</v>
      </c>
      <c r="K1538" s="13">
        <f>HR_Data[[#This Row],[Salary]]+HR_Data[[#This Row],[Bonus]]</f>
        <v>106033</v>
      </c>
    </row>
    <row r="1539" spans="1:11" x14ac:dyDescent="0.25">
      <c r="A1539">
        <v>2538</v>
      </c>
      <c r="B1539" t="s">
        <v>1579</v>
      </c>
      <c r="C1539" t="s">
        <v>11</v>
      </c>
      <c r="D1539" t="s">
        <v>15</v>
      </c>
      <c r="E1539" t="s">
        <v>16</v>
      </c>
      <c r="F1539" t="s">
        <v>21</v>
      </c>
      <c r="G1539">
        <v>56</v>
      </c>
      <c r="H1539" s="13">
        <v>63151</v>
      </c>
      <c r="I1539" s="13">
        <v>12207</v>
      </c>
      <c r="J1539" t="s">
        <v>25</v>
      </c>
      <c r="K1539" s="13">
        <f>HR_Data[[#This Row],[Salary]]+HR_Data[[#This Row],[Bonus]]</f>
        <v>75358</v>
      </c>
    </row>
    <row r="1540" spans="1:11" x14ac:dyDescent="0.25">
      <c r="A1540">
        <v>2539</v>
      </c>
      <c r="B1540" t="s">
        <v>1580</v>
      </c>
      <c r="C1540" t="s">
        <v>2042</v>
      </c>
      <c r="D1540" t="s">
        <v>15</v>
      </c>
      <c r="E1540" t="s">
        <v>19</v>
      </c>
      <c r="F1540" t="s">
        <v>21</v>
      </c>
      <c r="G1540">
        <v>50</v>
      </c>
      <c r="H1540" s="13">
        <v>37040</v>
      </c>
      <c r="I1540" s="13">
        <v>14394</v>
      </c>
      <c r="J1540" t="s">
        <v>25</v>
      </c>
      <c r="K1540" s="13">
        <f>HR_Data[[#This Row],[Salary]]+HR_Data[[#This Row],[Bonus]]</f>
        <v>51434</v>
      </c>
    </row>
    <row r="1541" spans="1:11" x14ac:dyDescent="0.25">
      <c r="A1541">
        <v>2540</v>
      </c>
      <c r="B1541" t="s">
        <v>1581</v>
      </c>
      <c r="C1541" t="s">
        <v>12</v>
      </c>
      <c r="D1541" t="s">
        <v>15</v>
      </c>
      <c r="E1541" t="s">
        <v>17</v>
      </c>
      <c r="F1541" t="s">
        <v>24</v>
      </c>
      <c r="G1541">
        <v>49</v>
      </c>
      <c r="H1541" s="13">
        <v>64772</v>
      </c>
      <c r="I1541" s="13">
        <v>19841</v>
      </c>
      <c r="J1541" t="s">
        <v>25</v>
      </c>
      <c r="K1541" s="13">
        <f>HR_Data[[#This Row],[Salary]]+HR_Data[[#This Row],[Bonus]]</f>
        <v>84613</v>
      </c>
    </row>
    <row r="1542" spans="1:11" x14ac:dyDescent="0.25">
      <c r="A1542">
        <v>2541</v>
      </c>
      <c r="B1542" t="s">
        <v>1582</v>
      </c>
      <c r="C1542" t="s">
        <v>9</v>
      </c>
      <c r="D1542" t="s">
        <v>15</v>
      </c>
      <c r="E1542" t="s">
        <v>17</v>
      </c>
      <c r="F1542" t="s">
        <v>21</v>
      </c>
      <c r="G1542">
        <v>39</v>
      </c>
      <c r="H1542" s="13">
        <v>116090</v>
      </c>
      <c r="I1542" s="13">
        <v>11227</v>
      </c>
      <c r="J1542" t="s">
        <v>26</v>
      </c>
      <c r="K1542" s="13">
        <f>HR_Data[[#This Row],[Salary]]+HR_Data[[#This Row],[Bonus]]</f>
        <v>127317</v>
      </c>
    </row>
    <row r="1543" spans="1:11" x14ac:dyDescent="0.25">
      <c r="A1543">
        <v>2542</v>
      </c>
      <c r="B1543" t="s">
        <v>1583</v>
      </c>
      <c r="C1543" t="s">
        <v>10</v>
      </c>
      <c r="D1543" t="s">
        <v>15</v>
      </c>
      <c r="E1543" t="s">
        <v>19</v>
      </c>
      <c r="F1543" t="s">
        <v>23</v>
      </c>
      <c r="G1543">
        <v>35</v>
      </c>
      <c r="H1543" s="13">
        <v>83832</v>
      </c>
      <c r="I1543" s="13">
        <v>18280</v>
      </c>
      <c r="J1543" t="s">
        <v>25</v>
      </c>
      <c r="K1543" s="13">
        <f>HR_Data[[#This Row],[Salary]]+HR_Data[[#This Row],[Bonus]]</f>
        <v>102112</v>
      </c>
    </row>
    <row r="1544" spans="1:11" x14ac:dyDescent="0.25">
      <c r="A1544">
        <v>2543</v>
      </c>
      <c r="B1544" t="s">
        <v>1584</v>
      </c>
      <c r="C1544" t="s">
        <v>9</v>
      </c>
      <c r="D1544" t="s">
        <v>15</v>
      </c>
      <c r="E1544" t="s">
        <v>17</v>
      </c>
      <c r="F1544" t="s">
        <v>24</v>
      </c>
      <c r="G1544">
        <v>39</v>
      </c>
      <c r="H1544" s="13">
        <v>47916</v>
      </c>
      <c r="I1544" s="13">
        <v>8535</v>
      </c>
      <c r="J1544" t="s">
        <v>25</v>
      </c>
      <c r="K1544" s="13">
        <f>HR_Data[[#This Row],[Salary]]+HR_Data[[#This Row],[Bonus]]</f>
        <v>56451</v>
      </c>
    </row>
    <row r="1545" spans="1:11" x14ac:dyDescent="0.25">
      <c r="A1545">
        <v>2544</v>
      </c>
      <c r="B1545" t="s">
        <v>1585</v>
      </c>
      <c r="C1545" t="s">
        <v>2042</v>
      </c>
      <c r="D1545" t="s">
        <v>15</v>
      </c>
      <c r="E1545" t="s">
        <v>18</v>
      </c>
      <c r="F1545" t="s">
        <v>21</v>
      </c>
      <c r="G1545">
        <v>49</v>
      </c>
      <c r="H1545" s="13">
        <v>64871</v>
      </c>
      <c r="I1545" s="13">
        <v>28388</v>
      </c>
      <c r="J1545" t="s">
        <v>27</v>
      </c>
      <c r="K1545" s="13">
        <f>HR_Data[[#This Row],[Salary]]+HR_Data[[#This Row],[Bonus]]</f>
        <v>93259</v>
      </c>
    </row>
    <row r="1546" spans="1:11" x14ac:dyDescent="0.25">
      <c r="A1546">
        <v>2545</v>
      </c>
      <c r="B1546" t="s">
        <v>1586</v>
      </c>
      <c r="C1546" t="s">
        <v>10</v>
      </c>
      <c r="D1546" t="s">
        <v>14</v>
      </c>
      <c r="E1546" t="s">
        <v>19</v>
      </c>
      <c r="F1546" t="s">
        <v>23</v>
      </c>
      <c r="G1546">
        <v>45</v>
      </c>
      <c r="H1546" s="13">
        <v>46372</v>
      </c>
      <c r="I1546" s="13">
        <v>15582</v>
      </c>
      <c r="J1546" t="s">
        <v>25</v>
      </c>
      <c r="K1546" s="13">
        <f>HR_Data[[#This Row],[Salary]]+HR_Data[[#This Row],[Bonus]]</f>
        <v>61954</v>
      </c>
    </row>
    <row r="1547" spans="1:11" x14ac:dyDescent="0.25">
      <c r="A1547">
        <v>2546</v>
      </c>
      <c r="B1547" t="s">
        <v>1587</v>
      </c>
      <c r="C1547" t="s">
        <v>11</v>
      </c>
      <c r="D1547" t="s">
        <v>15</v>
      </c>
      <c r="E1547" t="s">
        <v>18</v>
      </c>
      <c r="F1547" t="s">
        <v>21</v>
      </c>
      <c r="G1547">
        <v>29</v>
      </c>
      <c r="H1547" s="13">
        <v>81707</v>
      </c>
      <c r="I1547" s="13">
        <v>7913</v>
      </c>
      <c r="J1547" t="s">
        <v>25</v>
      </c>
      <c r="K1547" s="13">
        <f>HR_Data[[#This Row],[Salary]]+HR_Data[[#This Row],[Bonus]]</f>
        <v>89620</v>
      </c>
    </row>
    <row r="1548" spans="1:11" x14ac:dyDescent="0.25">
      <c r="A1548">
        <v>2547</v>
      </c>
      <c r="B1548" t="s">
        <v>1588</v>
      </c>
      <c r="C1548" t="s">
        <v>8</v>
      </c>
      <c r="D1548" t="s">
        <v>14</v>
      </c>
      <c r="E1548" t="s">
        <v>18</v>
      </c>
      <c r="F1548" t="s">
        <v>21</v>
      </c>
      <c r="G1548">
        <v>29</v>
      </c>
      <c r="H1548" s="13">
        <v>59080</v>
      </c>
      <c r="I1548" s="13">
        <v>7340</v>
      </c>
      <c r="J1548" t="s">
        <v>25</v>
      </c>
      <c r="K1548" s="13">
        <f>HR_Data[[#This Row],[Salary]]+HR_Data[[#This Row],[Bonus]]</f>
        <v>66420</v>
      </c>
    </row>
    <row r="1549" spans="1:11" x14ac:dyDescent="0.25">
      <c r="A1549">
        <v>2548</v>
      </c>
      <c r="B1549" t="s">
        <v>1589</v>
      </c>
      <c r="C1549" t="s">
        <v>9</v>
      </c>
      <c r="D1549" t="s">
        <v>14</v>
      </c>
      <c r="E1549" t="s">
        <v>20</v>
      </c>
      <c r="F1549" t="s">
        <v>21</v>
      </c>
      <c r="G1549">
        <v>25</v>
      </c>
      <c r="H1549" s="13">
        <v>62722</v>
      </c>
      <c r="I1549" s="13">
        <v>10289</v>
      </c>
      <c r="J1549" t="s">
        <v>25</v>
      </c>
      <c r="K1549" s="13">
        <f>HR_Data[[#This Row],[Salary]]+HR_Data[[#This Row],[Bonus]]</f>
        <v>73011</v>
      </c>
    </row>
    <row r="1550" spans="1:11" x14ac:dyDescent="0.25">
      <c r="A1550">
        <v>2549</v>
      </c>
      <c r="B1550" t="s">
        <v>1590</v>
      </c>
      <c r="C1550" t="s">
        <v>10</v>
      </c>
      <c r="D1550" t="s">
        <v>27</v>
      </c>
      <c r="E1550" t="s">
        <v>19</v>
      </c>
      <c r="F1550" t="s">
        <v>24</v>
      </c>
      <c r="G1550">
        <v>48</v>
      </c>
      <c r="H1550" s="13">
        <v>49048</v>
      </c>
      <c r="I1550" s="13">
        <v>5597</v>
      </c>
      <c r="J1550" t="s">
        <v>25</v>
      </c>
      <c r="K1550" s="13">
        <f>HR_Data[[#This Row],[Salary]]+HR_Data[[#This Row],[Bonus]]</f>
        <v>54645</v>
      </c>
    </row>
    <row r="1551" spans="1:11" x14ac:dyDescent="0.25">
      <c r="A1551">
        <v>2550</v>
      </c>
      <c r="B1551" t="s">
        <v>1591</v>
      </c>
      <c r="C1551" t="s">
        <v>9</v>
      </c>
      <c r="D1551" t="s">
        <v>14</v>
      </c>
      <c r="E1551" t="s">
        <v>17</v>
      </c>
      <c r="F1551" t="s">
        <v>22</v>
      </c>
      <c r="G1551">
        <v>57</v>
      </c>
      <c r="H1551" s="13">
        <v>105205</v>
      </c>
      <c r="I1551" s="13">
        <v>20025</v>
      </c>
      <c r="J1551" t="s">
        <v>25</v>
      </c>
      <c r="K1551" s="13">
        <f>HR_Data[[#This Row],[Salary]]+HR_Data[[#This Row],[Bonus]]</f>
        <v>125230</v>
      </c>
    </row>
    <row r="1552" spans="1:11" x14ac:dyDescent="0.25">
      <c r="A1552">
        <v>2551</v>
      </c>
      <c r="B1552" t="s">
        <v>1592</v>
      </c>
      <c r="C1552" t="s">
        <v>10</v>
      </c>
      <c r="D1552" t="s">
        <v>14</v>
      </c>
      <c r="E1552" t="s">
        <v>18</v>
      </c>
      <c r="F1552" t="s">
        <v>21</v>
      </c>
      <c r="G1552">
        <v>26</v>
      </c>
      <c r="H1552" s="13">
        <v>29777</v>
      </c>
      <c r="I1552" s="13">
        <v>12145</v>
      </c>
      <c r="J1552" t="s">
        <v>25</v>
      </c>
      <c r="K1552" s="13">
        <f>HR_Data[[#This Row],[Salary]]+HR_Data[[#This Row],[Bonus]]</f>
        <v>41922</v>
      </c>
    </row>
    <row r="1553" spans="1:11" x14ac:dyDescent="0.25">
      <c r="A1553">
        <v>2552</v>
      </c>
      <c r="B1553" t="s">
        <v>1593</v>
      </c>
      <c r="C1553" t="s">
        <v>12</v>
      </c>
      <c r="D1553" t="s">
        <v>14</v>
      </c>
      <c r="E1553" t="s">
        <v>20</v>
      </c>
      <c r="F1553" t="s">
        <v>23</v>
      </c>
      <c r="G1553">
        <v>54</v>
      </c>
      <c r="H1553" s="13">
        <v>74711</v>
      </c>
      <c r="I1553" s="13">
        <v>7902</v>
      </c>
      <c r="J1553" t="s">
        <v>26</v>
      </c>
      <c r="K1553" s="13">
        <f>HR_Data[[#This Row],[Salary]]+HR_Data[[#This Row],[Bonus]]</f>
        <v>82613</v>
      </c>
    </row>
    <row r="1554" spans="1:11" x14ac:dyDescent="0.25">
      <c r="A1554">
        <v>2553</v>
      </c>
      <c r="B1554" t="s">
        <v>1594</v>
      </c>
      <c r="C1554" t="s">
        <v>11</v>
      </c>
      <c r="D1554" t="s">
        <v>14</v>
      </c>
      <c r="E1554" t="s">
        <v>19</v>
      </c>
      <c r="F1554" t="s">
        <v>24</v>
      </c>
      <c r="G1554">
        <v>55</v>
      </c>
      <c r="H1554" s="13">
        <v>56331</v>
      </c>
      <c r="I1554" s="13">
        <v>28029</v>
      </c>
      <c r="J1554" t="s">
        <v>26</v>
      </c>
      <c r="K1554" s="13">
        <f>HR_Data[[#This Row],[Salary]]+HR_Data[[#This Row],[Bonus]]</f>
        <v>84360</v>
      </c>
    </row>
    <row r="1555" spans="1:11" x14ac:dyDescent="0.25">
      <c r="A1555">
        <v>2554</v>
      </c>
      <c r="B1555" t="s">
        <v>1595</v>
      </c>
      <c r="C1555" t="s">
        <v>9</v>
      </c>
      <c r="D1555" t="s">
        <v>15</v>
      </c>
      <c r="E1555" t="s">
        <v>19</v>
      </c>
      <c r="F1555" t="s">
        <v>24</v>
      </c>
      <c r="G1555">
        <v>51</v>
      </c>
      <c r="H1555" s="13">
        <v>40968</v>
      </c>
      <c r="I1555" s="13">
        <v>13955</v>
      </c>
      <c r="J1555" t="s">
        <v>25</v>
      </c>
      <c r="K1555" s="13">
        <f>HR_Data[[#This Row],[Salary]]+HR_Data[[#This Row],[Bonus]]</f>
        <v>54923</v>
      </c>
    </row>
    <row r="1556" spans="1:11" x14ac:dyDescent="0.25">
      <c r="A1556">
        <v>2555</v>
      </c>
      <c r="B1556" t="s">
        <v>1596</v>
      </c>
      <c r="C1556" t="s">
        <v>8</v>
      </c>
      <c r="D1556" t="s">
        <v>27</v>
      </c>
      <c r="E1556" t="s">
        <v>16</v>
      </c>
      <c r="F1556" t="s">
        <v>23</v>
      </c>
      <c r="G1556">
        <v>29</v>
      </c>
      <c r="H1556" s="13">
        <v>73969</v>
      </c>
      <c r="I1556" s="13">
        <v>12694</v>
      </c>
      <c r="J1556" t="s">
        <v>25</v>
      </c>
      <c r="K1556" s="13">
        <f>HR_Data[[#This Row],[Salary]]+HR_Data[[#This Row],[Bonus]]</f>
        <v>86663</v>
      </c>
    </row>
    <row r="1557" spans="1:11" x14ac:dyDescent="0.25">
      <c r="A1557">
        <v>2556</v>
      </c>
      <c r="B1557" t="s">
        <v>1597</v>
      </c>
      <c r="C1557" t="s">
        <v>8</v>
      </c>
      <c r="D1557" t="s">
        <v>15</v>
      </c>
      <c r="E1557" t="s">
        <v>16</v>
      </c>
      <c r="F1557" t="s">
        <v>21</v>
      </c>
      <c r="G1557">
        <v>47</v>
      </c>
      <c r="H1557" s="13">
        <v>31292</v>
      </c>
      <c r="I1557" s="13">
        <v>9830</v>
      </c>
      <c r="J1557" t="s">
        <v>25</v>
      </c>
      <c r="K1557" s="13">
        <f>HR_Data[[#This Row],[Salary]]+HR_Data[[#This Row],[Bonus]]</f>
        <v>41122</v>
      </c>
    </row>
    <row r="1558" spans="1:11" x14ac:dyDescent="0.25">
      <c r="A1558">
        <v>2557</v>
      </c>
      <c r="B1558" t="s">
        <v>1598</v>
      </c>
      <c r="C1558" t="s">
        <v>2042</v>
      </c>
      <c r="D1558" t="s">
        <v>15</v>
      </c>
      <c r="E1558" t="s">
        <v>18</v>
      </c>
      <c r="F1558" t="s">
        <v>22</v>
      </c>
      <c r="G1558">
        <v>58</v>
      </c>
      <c r="H1558" s="13">
        <v>60794</v>
      </c>
      <c r="I1558" s="13">
        <v>28930</v>
      </c>
      <c r="J1558" t="s">
        <v>25</v>
      </c>
      <c r="K1558" s="13">
        <f>HR_Data[[#This Row],[Salary]]+HR_Data[[#This Row],[Bonus]]</f>
        <v>89724</v>
      </c>
    </row>
    <row r="1559" spans="1:11" x14ac:dyDescent="0.25">
      <c r="A1559">
        <v>2558</v>
      </c>
      <c r="B1559" t="s">
        <v>1599</v>
      </c>
      <c r="C1559" t="s">
        <v>10</v>
      </c>
      <c r="D1559" t="s">
        <v>15</v>
      </c>
      <c r="E1559" t="s">
        <v>16</v>
      </c>
      <c r="F1559" t="s">
        <v>21</v>
      </c>
      <c r="G1559">
        <v>55</v>
      </c>
      <c r="H1559" s="13">
        <v>99459</v>
      </c>
      <c r="I1559" s="13">
        <v>28752</v>
      </c>
      <c r="J1559" t="s">
        <v>25</v>
      </c>
      <c r="K1559" s="13">
        <f>HR_Data[[#This Row],[Salary]]+HR_Data[[#This Row],[Bonus]]</f>
        <v>128211</v>
      </c>
    </row>
    <row r="1560" spans="1:11" x14ac:dyDescent="0.25">
      <c r="A1560">
        <v>2559</v>
      </c>
      <c r="B1560" t="s">
        <v>1600</v>
      </c>
      <c r="C1560" t="s">
        <v>9</v>
      </c>
      <c r="D1560" t="s">
        <v>15</v>
      </c>
      <c r="E1560" t="s">
        <v>18</v>
      </c>
      <c r="F1560" t="s">
        <v>23</v>
      </c>
      <c r="G1560">
        <v>28</v>
      </c>
      <c r="H1560" s="13">
        <v>70192</v>
      </c>
      <c r="I1560" s="13">
        <v>14834</v>
      </c>
      <c r="J1560" t="s">
        <v>25</v>
      </c>
      <c r="K1560" s="13">
        <f>HR_Data[[#This Row],[Salary]]+HR_Data[[#This Row],[Bonus]]</f>
        <v>85026</v>
      </c>
    </row>
    <row r="1561" spans="1:11" x14ac:dyDescent="0.25">
      <c r="A1561">
        <v>2560</v>
      </c>
      <c r="B1561" t="s">
        <v>1601</v>
      </c>
      <c r="C1561" t="s">
        <v>2042</v>
      </c>
      <c r="D1561" t="s">
        <v>15</v>
      </c>
      <c r="E1561" t="s">
        <v>17</v>
      </c>
      <c r="F1561" t="s">
        <v>24</v>
      </c>
      <c r="G1561">
        <v>49</v>
      </c>
      <c r="H1561" s="13">
        <v>69554.53</v>
      </c>
      <c r="I1561" s="13">
        <v>15489</v>
      </c>
      <c r="J1561" t="s">
        <v>25</v>
      </c>
      <c r="K1561" s="13">
        <f>HR_Data[[#This Row],[Salary]]+HR_Data[[#This Row],[Bonus]]</f>
        <v>85043.53</v>
      </c>
    </row>
    <row r="1562" spans="1:11" x14ac:dyDescent="0.25">
      <c r="A1562">
        <v>2561</v>
      </c>
      <c r="B1562" t="s">
        <v>1602</v>
      </c>
      <c r="C1562" t="s">
        <v>9</v>
      </c>
      <c r="D1562" t="s">
        <v>15</v>
      </c>
      <c r="E1562" t="s">
        <v>18</v>
      </c>
      <c r="F1562" t="s">
        <v>22</v>
      </c>
      <c r="G1562">
        <v>49</v>
      </c>
      <c r="H1562" s="13">
        <v>104193</v>
      </c>
      <c r="I1562" s="13">
        <v>20768</v>
      </c>
      <c r="J1562" t="s">
        <v>25</v>
      </c>
      <c r="K1562" s="13">
        <f>HR_Data[[#This Row],[Salary]]+HR_Data[[#This Row],[Bonus]]</f>
        <v>124961</v>
      </c>
    </row>
    <row r="1563" spans="1:11" x14ac:dyDescent="0.25">
      <c r="A1563">
        <v>2562</v>
      </c>
      <c r="B1563" t="s">
        <v>1603</v>
      </c>
      <c r="C1563" t="s">
        <v>10</v>
      </c>
      <c r="D1563" t="s">
        <v>15</v>
      </c>
      <c r="E1563" t="s">
        <v>16</v>
      </c>
      <c r="F1563" t="s">
        <v>24</v>
      </c>
      <c r="G1563">
        <v>35</v>
      </c>
      <c r="H1563" s="13">
        <v>89165</v>
      </c>
      <c r="I1563" s="13">
        <v>15364</v>
      </c>
      <c r="J1563" t="s">
        <v>25</v>
      </c>
      <c r="K1563" s="13">
        <f>HR_Data[[#This Row],[Salary]]+HR_Data[[#This Row],[Bonus]]</f>
        <v>104529</v>
      </c>
    </row>
    <row r="1564" spans="1:11" x14ac:dyDescent="0.25">
      <c r="A1564">
        <v>2563</v>
      </c>
      <c r="B1564" t="s">
        <v>1604</v>
      </c>
      <c r="C1564" t="s">
        <v>8</v>
      </c>
      <c r="D1564" t="s">
        <v>15</v>
      </c>
      <c r="E1564" t="s">
        <v>17</v>
      </c>
      <c r="F1564" t="s">
        <v>23</v>
      </c>
      <c r="G1564">
        <v>59</v>
      </c>
      <c r="H1564" s="13">
        <v>87650</v>
      </c>
      <c r="I1564" s="13">
        <v>7160</v>
      </c>
      <c r="J1564" t="s">
        <v>26</v>
      </c>
      <c r="K1564" s="13">
        <f>HR_Data[[#This Row],[Salary]]+HR_Data[[#This Row],[Bonus]]</f>
        <v>94810</v>
      </c>
    </row>
    <row r="1565" spans="1:11" x14ac:dyDescent="0.25">
      <c r="A1565">
        <v>2564</v>
      </c>
      <c r="B1565" t="s">
        <v>1605</v>
      </c>
      <c r="C1565" t="s">
        <v>12</v>
      </c>
      <c r="D1565" t="s">
        <v>14</v>
      </c>
      <c r="E1565" t="s">
        <v>16</v>
      </c>
      <c r="F1565" t="s">
        <v>21</v>
      </c>
      <c r="G1565">
        <v>25</v>
      </c>
      <c r="H1565" s="13">
        <v>76516</v>
      </c>
      <c r="I1565" s="13">
        <v>18268</v>
      </c>
      <c r="J1565" t="s">
        <v>25</v>
      </c>
      <c r="K1565" s="13">
        <f>HR_Data[[#This Row],[Salary]]+HR_Data[[#This Row],[Bonus]]</f>
        <v>94784</v>
      </c>
    </row>
    <row r="1566" spans="1:11" x14ac:dyDescent="0.25">
      <c r="A1566">
        <v>2565</v>
      </c>
      <c r="B1566" t="s">
        <v>1606</v>
      </c>
      <c r="C1566" t="s">
        <v>8</v>
      </c>
      <c r="D1566" t="s">
        <v>15</v>
      </c>
      <c r="E1566" t="s">
        <v>18</v>
      </c>
      <c r="F1566" t="s">
        <v>22</v>
      </c>
      <c r="G1566">
        <v>39</v>
      </c>
      <c r="H1566" s="13">
        <v>119981</v>
      </c>
      <c r="I1566" s="13">
        <v>27262</v>
      </c>
      <c r="J1566" t="s">
        <v>25</v>
      </c>
      <c r="K1566" s="13">
        <f>HR_Data[[#This Row],[Salary]]+HR_Data[[#This Row],[Bonus]]</f>
        <v>147243</v>
      </c>
    </row>
    <row r="1567" spans="1:11" x14ac:dyDescent="0.25">
      <c r="A1567">
        <v>2566</v>
      </c>
      <c r="B1567" t="s">
        <v>1607</v>
      </c>
      <c r="C1567" t="s">
        <v>2042</v>
      </c>
      <c r="D1567" t="s">
        <v>14</v>
      </c>
      <c r="E1567" t="s">
        <v>20</v>
      </c>
      <c r="F1567" t="s">
        <v>24</v>
      </c>
      <c r="G1567">
        <v>46</v>
      </c>
      <c r="H1567" s="13">
        <v>111110</v>
      </c>
      <c r="I1567" s="13">
        <v>29047</v>
      </c>
      <c r="J1567" t="s">
        <v>25</v>
      </c>
      <c r="K1567" s="13">
        <f>HR_Data[[#This Row],[Salary]]+HR_Data[[#This Row],[Bonus]]</f>
        <v>140157</v>
      </c>
    </row>
    <row r="1568" spans="1:11" x14ac:dyDescent="0.25">
      <c r="A1568">
        <v>2567</v>
      </c>
      <c r="B1568" t="s">
        <v>1608</v>
      </c>
      <c r="C1568" t="s">
        <v>11</v>
      </c>
      <c r="D1568" t="s">
        <v>14</v>
      </c>
      <c r="E1568" t="s">
        <v>19</v>
      </c>
      <c r="F1568" t="s">
        <v>24</v>
      </c>
      <c r="G1568">
        <v>28</v>
      </c>
      <c r="H1568" s="13">
        <v>117885</v>
      </c>
      <c r="I1568" s="13">
        <v>25133</v>
      </c>
      <c r="J1568" t="s">
        <v>26</v>
      </c>
      <c r="K1568" s="13">
        <f>HR_Data[[#This Row],[Salary]]+HR_Data[[#This Row],[Bonus]]</f>
        <v>143018</v>
      </c>
    </row>
    <row r="1569" spans="1:11" x14ac:dyDescent="0.25">
      <c r="A1569">
        <v>2568</v>
      </c>
      <c r="B1569" t="s">
        <v>1609</v>
      </c>
      <c r="C1569" t="s">
        <v>12</v>
      </c>
      <c r="D1569" t="s">
        <v>14</v>
      </c>
      <c r="E1569" t="s">
        <v>16</v>
      </c>
      <c r="F1569" t="s">
        <v>24</v>
      </c>
      <c r="G1569">
        <v>59</v>
      </c>
      <c r="H1569" s="13">
        <v>42257</v>
      </c>
      <c r="I1569" s="13">
        <v>19485</v>
      </c>
      <c r="J1569" t="s">
        <v>25</v>
      </c>
      <c r="K1569" s="13">
        <f>HR_Data[[#This Row],[Salary]]+HR_Data[[#This Row],[Bonus]]</f>
        <v>61742</v>
      </c>
    </row>
    <row r="1570" spans="1:11" x14ac:dyDescent="0.25">
      <c r="A1570">
        <v>2569</v>
      </c>
      <c r="B1570" t="s">
        <v>1610</v>
      </c>
      <c r="C1570" t="s">
        <v>2042</v>
      </c>
      <c r="D1570" t="s">
        <v>14</v>
      </c>
      <c r="E1570" t="s">
        <v>18</v>
      </c>
      <c r="F1570" t="s">
        <v>21</v>
      </c>
      <c r="G1570">
        <v>49</v>
      </c>
      <c r="H1570" s="13">
        <v>103509</v>
      </c>
      <c r="I1570" s="13">
        <v>7922</v>
      </c>
      <c r="J1570" t="s">
        <v>26</v>
      </c>
      <c r="K1570" s="13">
        <f>HR_Data[[#This Row],[Salary]]+HR_Data[[#This Row],[Bonus]]</f>
        <v>111431</v>
      </c>
    </row>
    <row r="1571" spans="1:11" x14ac:dyDescent="0.25">
      <c r="A1571">
        <v>2570</v>
      </c>
      <c r="B1571" t="s">
        <v>1611</v>
      </c>
      <c r="C1571" t="s">
        <v>10</v>
      </c>
      <c r="D1571" t="s">
        <v>15</v>
      </c>
      <c r="E1571" t="s">
        <v>17</v>
      </c>
      <c r="F1571" t="s">
        <v>22</v>
      </c>
      <c r="G1571">
        <v>26</v>
      </c>
      <c r="H1571" s="13">
        <v>111273</v>
      </c>
      <c r="I1571" s="13">
        <v>27870</v>
      </c>
      <c r="J1571" t="s">
        <v>25</v>
      </c>
      <c r="K1571" s="13">
        <f>HR_Data[[#This Row],[Salary]]+HR_Data[[#This Row],[Bonus]]</f>
        <v>139143</v>
      </c>
    </row>
    <row r="1572" spans="1:11" x14ac:dyDescent="0.25">
      <c r="A1572">
        <v>2571</v>
      </c>
      <c r="B1572" t="s">
        <v>1612</v>
      </c>
      <c r="C1572" t="s">
        <v>12</v>
      </c>
      <c r="D1572" t="s">
        <v>14</v>
      </c>
      <c r="E1572" t="s">
        <v>16</v>
      </c>
      <c r="F1572" t="s">
        <v>21</v>
      </c>
      <c r="G1572">
        <v>24</v>
      </c>
      <c r="H1572" s="13">
        <v>71672</v>
      </c>
      <c r="I1572" s="13">
        <v>29496</v>
      </c>
      <c r="J1572" t="s">
        <v>25</v>
      </c>
      <c r="K1572" s="13">
        <f>HR_Data[[#This Row],[Salary]]+HR_Data[[#This Row],[Bonus]]</f>
        <v>101168</v>
      </c>
    </row>
    <row r="1573" spans="1:11" x14ac:dyDescent="0.25">
      <c r="A1573">
        <v>2572</v>
      </c>
      <c r="B1573" t="s">
        <v>1613</v>
      </c>
      <c r="C1573" t="s">
        <v>2042</v>
      </c>
      <c r="D1573" t="s">
        <v>15</v>
      </c>
      <c r="E1573" t="s">
        <v>16</v>
      </c>
      <c r="F1573" t="s">
        <v>21</v>
      </c>
      <c r="G1573">
        <v>52</v>
      </c>
      <c r="H1573" s="13">
        <v>83308</v>
      </c>
      <c r="I1573" s="13">
        <v>8804</v>
      </c>
      <c r="J1573" t="s">
        <v>25</v>
      </c>
      <c r="K1573" s="13">
        <f>HR_Data[[#This Row],[Salary]]+HR_Data[[#This Row],[Bonus]]</f>
        <v>92112</v>
      </c>
    </row>
    <row r="1574" spans="1:11" x14ac:dyDescent="0.25">
      <c r="A1574">
        <v>2573</v>
      </c>
      <c r="B1574" t="s">
        <v>1614</v>
      </c>
      <c r="C1574" t="s">
        <v>10</v>
      </c>
      <c r="D1574" t="s">
        <v>15</v>
      </c>
      <c r="E1574" t="s">
        <v>19</v>
      </c>
      <c r="F1574" t="s">
        <v>21</v>
      </c>
      <c r="G1574">
        <v>41</v>
      </c>
      <c r="H1574" s="13">
        <v>97583</v>
      </c>
      <c r="I1574" s="13">
        <v>26262</v>
      </c>
      <c r="J1574" t="s">
        <v>25</v>
      </c>
      <c r="K1574" s="13">
        <f>HR_Data[[#This Row],[Salary]]+HR_Data[[#This Row],[Bonus]]</f>
        <v>123845</v>
      </c>
    </row>
    <row r="1575" spans="1:11" x14ac:dyDescent="0.25">
      <c r="A1575">
        <v>2574</v>
      </c>
      <c r="B1575" t="s">
        <v>1615</v>
      </c>
      <c r="C1575" t="s">
        <v>8</v>
      </c>
      <c r="D1575" t="s">
        <v>14</v>
      </c>
      <c r="E1575" t="s">
        <v>18</v>
      </c>
      <c r="F1575" t="s">
        <v>23</v>
      </c>
      <c r="G1575">
        <v>40</v>
      </c>
      <c r="H1575" s="13">
        <v>42113</v>
      </c>
      <c r="I1575" s="13">
        <v>7368</v>
      </c>
      <c r="J1575" t="s">
        <v>26</v>
      </c>
      <c r="K1575" s="13">
        <f>HR_Data[[#This Row],[Salary]]+HR_Data[[#This Row],[Bonus]]</f>
        <v>49481</v>
      </c>
    </row>
    <row r="1576" spans="1:11" x14ac:dyDescent="0.25">
      <c r="A1576">
        <v>2575</v>
      </c>
      <c r="B1576" t="s">
        <v>1616</v>
      </c>
      <c r="C1576" t="s">
        <v>11</v>
      </c>
      <c r="D1576" t="s">
        <v>15</v>
      </c>
      <c r="E1576" t="s">
        <v>20</v>
      </c>
      <c r="F1576" t="s">
        <v>23</v>
      </c>
      <c r="G1576">
        <v>32</v>
      </c>
      <c r="H1576" s="13">
        <v>20694</v>
      </c>
      <c r="I1576" s="13">
        <v>20157</v>
      </c>
      <c r="J1576" t="s">
        <v>26</v>
      </c>
      <c r="K1576" s="13">
        <f>HR_Data[[#This Row],[Salary]]+HR_Data[[#This Row],[Bonus]]</f>
        <v>40851</v>
      </c>
    </row>
    <row r="1577" spans="1:11" x14ac:dyDescent="0.25">
      <c r="A1577">
        <v>2576</v>
      </c>
      <c r="B1577" t="s">
        <v>1617</v>
      </c>
      <c r="C1577" t="s">
        <v>10</v>
      </c>
      <c r="D1577" t="s">
        <v>14</v>
      </c>
      <c r="E1577" t="s">
        <v>17</v>
      </c>
      <c r="F1577" t="s">
        <v>23</v>
      </c>
      <c r="G1577">
        <v>24</v>
      </c>
      <c r="H1577" s="13">
        <v>35588</v>
      </c>
      <c r="I1577" s="13">
        <v>13093</v>
      </c>
      <c r="J1577" t="s">
        <v>25</v>
      </c>
      <c r="K1577" s="13">
        <f>HR_Data[[#This Row],[Salary]]+HR_Data[[#This Row],[Bonus]]</f>
        <v>48681</v>
      </c>
    </row>
    <row r="1578" spans="1:11" x14ac:dyDescent="0.25">
      <c r="A1578">
        <v>2577</v>
      </c>
      <c r="B1578" t="s">
        <v>1618</v>
      </c>
      <c r="C1578" t="s">
        <v>9</v>
      </c>
      <c r="D1578" t="s">
        <v>14</v>
      </c>
      <c r="E1578" t="s">
        <v>18</v>
      </c>
      <c r="F1578" t="s">
        <v>22</v>
      </c>
      <c r="G1578">
        <v>44</v>
      </c>
      <c r="H1578" s="13">
        <v>81756</v>
      </c>
      <c r="I1578" s="13">
        <v>8932</v>
      </c>
      <c r="J1578" t="s">
        <v>26</v>
      </c>
      <c r="K1578" s="13">
        <f>HR_Data[[#This Row],[Salary]]+HR_Data[[#This Row],[Bonus]]</f>
        <v>90688</v>
      </c>
    </row>
    <row r="1579" spans="1:11" x14ac:dyDescent="0.25">
      <c r="A1579">
        <v>2578</v>
      </c>
      <c r="B1579" t="s">
        <v>1619</v>
      </c>
      <c r="C1579" t="s">
        <v>10</v>
      </c>
      <c r="D1579" t="s">
        <v>15</v>
      </c>
      <c r="E1579" t="s">
        <v>17</v>
      </c>
      <c r="F1579" t="s">
        <v>21</v>
      </c>
      <c r="G1579">
        <v>28</v>
      </c>
      <c r="H1579" s="13">
        <v>84085</v>
      </c>
      <c r="I1579" s="13">
        <v>16552</v>
      </c>
      <c r="J1579" t="s">
        <v>26</v>
      </c>
      <c r="K1579" s="13">
        <f>HR_Data[[#This Row],[Salary]]+HR_Data[[#This Row],[Bonus]]</f>
        <v>100637</v>
      </c>
    </row>
    <row r="1580" spans="1:11" x14ac:dyDescent="0.25">
      <c r="A1580">
        <v>2579</v>
      </c>
      <c r="B1580" t="s">
        <v>1620</v>
      </c>
      <c r="C1580" t="s">
        <v>10</v>
      </c>
      <c r="D1580" t="s">
        <v>15</v>
      </c>
      <c r="E1580" t="s">
        <v>16</v>
      </c>
      <c r="F1580" t="s">
        <v>21</v>
      </c>
      <c r="G1580">
        <v>44</v>
      </c>
      <c r="H1580" s="13">
        <v>81142</v>
      </c>
      <c r="I1580" s="13">
        <v>10608</v>
      </c>
      <c r="J1580" t="s">
        <v>25</v>
      </c>
      <c r="K1580" s="13">
        <f>HR_Data[[#This Row],[Salary]]+HR_Data[[#This Row],[Bonus]]</f>
        <v>91750</v>
      </c>
    </row>
    <row r="1581" spans="1:11" x14ac:dyDescent="0.25">
      <c r="A1581">
        <v>2580</v>
      </c>
      <c r="B1581" t="s">
        <v>1621</v>
      </c>
      <c r="C1581" t="s">
        <v>11</v>
      </c>
      <c r="D1581" t="s">
        <v>14</v>
      </c>
      <c r="E1581" t="s">
        <v>19</v>
      </c>
      <c r="F1581" t="s">
        <v>23</v>
      </c>
      <c r="G1581">
        <v>28</v>
      </c>
      <c r="H1581" s="13">
        <v>84373</v>
      </c>
      <c r="I1581" s="13">
        <v>28019</v>
      </c>
      <c r="J1581" t="s">
        <v>25</v>
      </c>
      <c r="K1581" s="13">
        <f>HR_Data[[#This Row],[Salary]]+HR_Data[[#This Row],[Bonus]]</f>
        <v>112392</v>
      </c>
    </row>
    <row r="1582" spans="1:11" x14ac:dyDescent="0.25">
      <c r="A1582">
        <v>2581</v>
      </c>
      <c r="B1582" t="s">
        <v>1622</v>
      </c>
      <c r="C1582" t="s">
        <v>9</v>
      </c>
      <c r="D1582" t="s">
        <v>15</v>
      </c>
      <c r="E1582" t="s">
        <v>19</v>
      </c>
      <c r="F1582" t="s">
        <v>21</v>
      </c>
      <c r="G1582">
        <v>55</v>
      </c>
      <c r="H1582" s="13">
        <v>105603</v>
      </c>
      <c r="I1582" s="13">
        <v>17899</v>
      </c>
      <c r="J1582" t="s">
        <v>25</v>
      </c>
      <c r="K1582" s="13">
        <f>HR_Data[[#This Row],[Salary]]+HR_Data[[#This Row],[Bonus]]</f>
        <v>123502</v>
      </c>
    </row>
    <row r="1583" spans="1:11" x14ac:dyDescent="0.25">
      <c r="A1583">
        <v>2582</v>
      </c>
      <c r="B1583" t="s">
        <v>1623</v>
      </c>
      <c r="C1583" t="s">
        <v>2042</v>
      </c>
      <c r="D1583" t="s">
        <v>15</v>
      </c>
      <c r="E1583" t="s">
        <v>20</v>
      </c>
      <c r="F1583" t="s">
        <v>21</v>
      </c>
      <c r="G1583">
        <v>40</v>
      </c>
      <c r="H1583" s="13">
        <v>26704</v>
      </c>
      <c r="I1583" s="13">
        <v>27779</v>
      </c>
      <c r="J1583" t="s">
        <v>26</v>
      </c>
      <c r="K1583" s="13">
        <f>HR_Data[[#This Row],[Salary]]+HR_Data[[#This Row],[Bonus]]</f>
        <v>54483</v>
      </c>
    </row>
    <row r="1584" spans="1:11" x14ac:dyDescent="0.25">
      <c r="A1584">
        <v>2583</v>
      </c>
      <c r="B1584" t="s">
        <v>1624</v>
      </c>
      <c r="C1584" t="s">
        <v>2042</v>
      </c>
      <c r="D1584" t="s">
        <v>15</v>
      </c>
      <c r="E1584" t="s">
        <v>19</v>
      </c>
      <c r="F1584" t="s">
        <v>24</v>
      </c>
      <c r="G1584">
        <v>30</v>
      </c>
      <c r="H1584" s="13">
        <v>60136</v>
      </c>
      <c r="I1584" s="13">
        <v>27485</v>
      </c>
      <c r="J1584" t="s">
        <v>25</v>
      </c>
      <c r="K1584" s="13">
        <f>HR_Data[[#This Row],[Salary]]+HR_Data[[#This Row],[Bonus]]</f>
        <v>87621</v>
      </c>
    </row>
    <row r="1585" spans="1:11" x14ac:dyDescent="0.25">
      <c r="A1585">
        <v>2584</v>
      </c>
      <c r="B1585" t="s">
        <v>1625</v>
      </c>
      <c r="C1585" t="s">
        <v>10</v>
      </c>
      <c r="D1585" t="s">
        <v>14</v>
      </c>
      <c r="E1585" t="s">
        <v>16</v>
      </c>
      <c r="F1585" t="s">
        <v>21</v>
      </c>
      <c r="G1585">
        <v>39</v>
      </c>
      <c r="H1585" s="13">
        <v>87507</v>
      </c>
      <c r="I1585" s="13">
        <v>14292</v>
      </c>
      <c r="J1585" t="s">
        <v>25</v>
      </c>
      <c r="K1585" s="13">
        <f>HR_Data[[#This Row],[Salary]]+HR_Data[[#This Row],[Bonus]]</f>
        <v>101799</v>
      </c>
    </row>
    <row r="1586" spans="1:11" x14ac:dyDescent="0.25">
      <c r="A1586">
        <v>2585</v>
      </c>
      <c r="B1586" t="s">
        <v>1626</v>
      </c>
      <c r="C1586" t="s">
        <v>9</v>
      </c>
      <c r="D1586" t="s">
        <v>14</v>
      </c>
      <c r="E1586" t="s">
        <v>20</v>
      </c>
      <c r="F1586" t="s">
        <v>24</v>
      </c>
      <c r="G1586">
        <v>46</v>
      </c>
      <c r="H1586" s="13">
        <v>67361</v>
      </c>
      <c r="I1586" s="13">
        <v>14862</v>
      </c>
      <c r="J1586" t="s">
        <v>25</v>
      </c>
      <c r="K1586" s="13">
        <f>HR_Data[[#This Row],[Salary]]+HR_Data[[#This Row],[Bonus]]</f>
        <v>82223</v>
      </c>
    </row>
    <row r="1587" spans="1:11" x14ac:dyDescent="0.25">
      <c r="A1587">
        <v>2586</v>
      </c>
      <c r="B1587" t="s">
        <v>1627</v>
      </c>
      <c r="C1587" t="s">
        <v>9</v>
      </c>
      <c r="D1587" t="s">
        <v>15</v>
      </c>
      <c r="E1587" t="s">
        <v>18</v>
      </c>
      <c r="F1587" t="s">
        <v>21</v>
      </c>
      <c r="G1587">
        <v>35</v>
      </c>
      <c r="H1587" s="13">
        <v>78847</v>
      </c>
      <c r="I1587" s="13">
        <v>10531</v>
      </c>
      <c r="J1587" t="s">
        <v>26</v>
      </c>
      <c r="K1587" s="13">
        <f>HR_Data[[#This Row],[Salary]]+HR_Data[[#This Row],[Bonus]]</f>
        <v>89378</v>
      </c>
    </row>
    <row r="1588" spans="1:11" x14ac:dyDescent="0.25">
      <c r="A1588">
        <v>2587</v>
      </c>
      <c r="B1588" t="s">
        <v>1628</v>
      </c>
      <c r="C1588" t="s">
        <v>11</v>
      </c>
      <c r="D1588" t="s">
        <v>15</v>
      </c>
      <c r="E1588" t="s">
        <v>19</v>
      </c>
      <c r="F1588" t="s">
        <v>22</v>
      </c>
      <c r="G1588">
        <v>46</v>
      </c>
      <c r="H1588" s="13">
        <v>31441</v>
      </c>
      <c r="I1588" s="13">
        <v>15412</v>
      </c>
      <c r="J1588" t="s">
        <v>25</v>
      </c>
      <c r="K1588" s="13">
        <f>HR_Data[[#This Row],[Salary]]+HR_Data[[#This Row],[Bonus]]</f>
        <v>46853</v>
      </c>
    </row>
    <row r="1589" spans="1:11" x14ac:dyDescent="0.25">
      <c r="A1589">
        <v>2588</v>
      </c>
      <c r="B1589" t="s">
        <v>1629</v>
      </c>
      <c r="C1589" t="s">
        <v>8</v>
      </c>
      <c r="D1589" t="s">
        <v>15</v>
      </c>
      <c r="E1589" t="s">
        <v>20</v>
      </c>
      <c r="F1589" t="s">
        <v>23</v>
      </c>
      <c r="G1589">
        <v>40</v>
      </c>
      <c r="H1589" s="13">
        <v>117012</v>
      </c>
      <c r="I1589" s="13">
        <v>26354</v>
      </c>
      <c r="J1589" t="s">
        <v>25</v>
      </c>
      <c r="K1589" s="13">
        <f>HR_Data[[#This Row],[Salary]]+HR_Data[[#This Row],[Bonus]]</f>
        <v>143366</v>
      </c>
    </row>
    <row r="1590" spans="1:11" x14ac:dyDescent="0.25">
      <c r="A1590">
        <v>2589</v>
      </c>
      <c r="B1590" t="s">
        <v>1630</v>
      </c>
      <c r="C1590" t="s">
        <v>2042</v>
      </c>
      <c r="D1590" t="s">
        <v>15</v>
      </c>
      <c r="E1590" t="s">
        <v>16</v>
      </c>
      <c r="F1590" t="s">
        <v>24</v>
      </c>
      <c r="G1590">
        <v>36</v>
      </c>
      <c r="H1590" s="13">
        <v>34677</v>
      </c>
      <c r="I1590" s="13">
        <v>11344</v>
      </c>
      <c r="J1590" t="s">
        <v>27</v>
      </c>
      <c r="K1590" s="13">
        <f>HR_Data[[#This Row],[Salary]]+HR_Data[[#This Row],[Bonus]]</f>
        <v>46021</v>
      </c>
    </row>
    <row r="1591" spans="1:11" x14ac:dyDescent="0.25">
      <c r="A1591">
        <v>2590</v>
      </c>
      <c r="B1591" t="s">
        <v>1631</v>
      </c>
      <c r="C1591" t="s">
        <v>11</v>
      </c>
      <c r="D1591" t="s">
        <v>15</v>
      </c>
      <c r="E1591" t="s">
        <v>17</v>
      </c>
      <c r="F1591" t="s">
        <v>23</v>
      </c>
      <c r="G1591">
        <v>37</v>
      </c>
      <c r="H1591" s="13">
        <v>47818</v>
      </c>
      <c r="I1591" s="13">
        <v>29792</v>
      </c>
      <c r="J1591" t="s">
        <v>25</v>
      </c>
      <c r="K1591" s="13">
        <f>HR_Data[[#This Row],[Salary]]+HR_Data[[#This Row],[Bonus]]</f>
        <v>77610</v>
      </c>
    </row>
    <row r="1592" spans="1:11" x14ac:dyDescent="0.25">
      <c r="A1592">
        <v>2591</v>
      </c>
      <c r="B1592" t="s">
        <v>1632</v>
      </c>
      <c r="C1592" t="s">
        <v>12</v>
      </c>
      <c r="D1592" t="s">
        <v>14</v>
      </c>
      <c r="E1592" t="s">
        <v>17</v>
      </c>
      <c r="F1592" t="s">
        <v>24</v>
      </c>
      <c r="G1592">
        <v>48</v>
      </c>
      <c r="H1592" s="13">
        <v>21868</v>
      </c>
      <c r="I1592" s="13">
        <v>21759</v>
      </c>
      <c r="J1592" t="s">
        <v>26</v>
      </c>
      <c r="K1592" s="13">
        <f>HR_Data[[#This Row],[Salary]]+HR_Data[[#This Row],[Bonus]]</f>
        <v>43627</v>
      </c>
    </row>
    <row r="1593" spans="1:11" x14ac:dyDescent="0.25">
      <c r="A1593">
        <v>2592</v>
      </c>
      <c r="B1593" t="s">
        <v>1633</v>
      </c>
      <c r="C1593" t="s">
        <v>2042</v>
      </c>
      <c r="D1593" t="s">
        <v>15</v>
      </c>
      <c r="E1593" t="s">
        <v>16</v>
      </c>
      <c r="F1593" t="s">
        <v>24</v>
      </c>
      <c r="G1593">
        <v>31</v>
      </c>
      <c r="H1593" s="13">
        <v>103591</v>
      </c>
      <c r="I1593" s="13">
        <v>12887</v>
      </c>
      <c r="J1593" t="s">
        <v>26</v>
      </c>
      <c r="K1593" s="13">
        <f>HR_Data[[#This Row],[Salary]]+HR_Data[[#This Row],[Bonus]]</f>
        <v>116478</v>
      </c>
    </row>
    <row r="1594" spans="1:11" x14ac:dyDescent="0.25">
      <c r="A1594">
        <v>2593</v>
      </c>
      <c r="B1594" t="s">
        <v>1634</v>
      </c>
      <c r="C1594" t="s">
        <v>11</v>
      </c>
      <c r="D1594" t="s">
        <v>14</v>
      </c>
      <c r="E1594" t="s">
        <v>16</v>
      </c>
      <c r="F1594" t="s">
        <v>24</v>
      </c>
      <c r="G1594">
        <v>25</v>
      </c>
      <c r="H1594" s="13">
        <v>87264</v>
      </c>
      <c r="I1594" s="13">
        <v>22993</v>
      </c>
      <c r="J1594" t="s">
        <v>25</v>
      </c>
      <c r="K1594" s="13">
        <f>HR_Data[[#This Row],[Salary]]+HR_Data[[#This Row],[Bonus]]</f>
        <v>110257</v>
      </c>
    </row>
    <row r="1595" spans="1:11" x14ac:dyDescent="0.25">
      <c r="A1595">
        <v>2594</v>
      </c>
      <c r="B1595" t="s">
        <v>1635</v>
      </c>
      <c r="C1595" t="s">
        <v>2042</v>
      </c>
      <c r="D1595" t="s">
        <v>15</v>
      </c>
      <c r="E1595" t="s">
        <v>17</v>
      </c>
      <c r="F1595" t="s">
        <v>22</v>
      </c>
      <c r="G1595">
        <v>40</v>
      </c>
      <c r="H1595" s="13">
        <v>93168</v>
      </c>
      <c r="I1595" s="13">
        <v>21158</v>
      </c>
      <c r="J1595" t="s">
        <v>25</v>
      </c>
      <c r="K1595" s="13">
        <f>HR_Data[[#This Row],[Salary]]+HR_Data[[#This Row],[Bonus]]</f>
        <v>114326</v>
      </c>
    </row>
    <row r="1596" spans="1:11" x14ac:dyDescent="0.25">
      <c r="A1596">
        <v>2595</v>
      </c>
      <c r="B1596" t="s">
        <v>1636</v>
      </c>
      <c r="C1596" t="s">
        <v>8</v>
      </c>
      <c r="D1596" t="s">
        <v>14</v>
      </c>
      <c r="E1596" t="s">
        <v>20</v>
      </c>
      <c r="F1596" t="s">
        <v>21</v>
      </c>
      <c r="G1596">
        <v>49</v>
      </c>
      <c r="H1596" s="13">
        <v>32043</v>
      </c>
      <c r="I1596" s="13">
        <v>24323</v>
      </c>
      <c r="J1596" t="s">
        <v>25</v>
      </c>
      <c r="K1596" s="13">
        <f>HR_Data[[#This Row],[Salary]]+HR_Data[[#This Row],[Bonus]]</f>
        <v>56366</v>
      </c>
    </row>
    <row r="1597" spans="1:11" x14ac:dyDescent="0.25">
      <c r="A1597">
        <v>2596</v>
      </c>
      <c r="B1597" t="s">
        <v>1637</v>
      </c>
      <c r="C1597" t="s">
        <v>12</v>
      </c>
      <c r="D1597" t="s">
        <v>15</v>
      </c>
      <c r="E1597" t="s">
        <v>17</v>
      </c>
      <c r="F1597" t="s">
        <v>24</v>
      </c>
      <c r="G1597">
        <v>42</v>
      </c>
      <c r="H1597" s="13">
        <v>91939</v>
      </c>
      <c r="I1597" s="13">
        <v>25446</v>
      </c>
      <c r="J1597" t="s">
        <v>25</v>
      </c>
      <c r="K1597" s="13">
        <f>HR_Data[[#This Row],[Salary]]+HR_Data[[#This Row],[Bonus]]</f>
        <v>117385</v>
      </c>
    </row>
    <row r="1598" spans="1:11" x14ac:dyDescent="0.25">
      <c r="A1598">
        <v>2597</v>
      </c>
      <c r="B1598" t="s">
        <v>1638</v>
      </c>
      <c r="C1598" t="s">
        <v>8</v>
      </c>
      <c r="D1598" t="s">
        <v>14</v>
      </c>
      <c r="E1598" t="s">
        <v>16</v>
      </c>
      <c r="F1598" t="s">
        <v>22</v>
      </c>
      <c r="G1598">
        <v>35</v>
      </c>
      <c r="H1598" s="13">
        <v>35732</v>
      </c>
      <c r="I1598" s="13">
        <v>22997</v>
      </c>
      <c r="J1598" t="s">
        <v>25</v>
      </c>
      <c r="K1598" s="13">
        <f>HR_Data[[#This Row],[Salary]]+HR_Data[[#This Row],[Bonus]]</f>
        <v>58729</v>
      </c>
    </row>
    <row r="1599" spans="1:11" x14ac:dyDescent="0.25">
      <c r="A1599">
        <v>2598</v>
      </c>
      <c r="B1599" t="s">
        <v>1639</v>
      </c>
      <c r="C1599" t="s">
        <v>12</v>
      </c>
      <c r="D1599" t="s">
        <v>15</v>
      </c>
      <c r="E1599" t="s">
        <v>19</v>
      </c>
      <c r="F1599" t="s">
        <v>24</v>
      </c>
      <c r="G1599">
        <v>54</v>
      </c>
      <c r="H1599" s="13">
        <v>75244</v>
      </c>
      <c r="I1599" s="13">
        <v>27962</v>
      </c>
      <c r="J1599" t="s">
        <v>25</v>
      </c>
      <c r="K1599" s="13">
        <f>HR_Data[[#This Row],[Salary]]+HR_Data[[#This Row],[Bonus]]</f>
        <v>103206</v>
      </c>
    </row>
    <row r="1600" spans="1:11" x14ac:dyDescent="0.25">
      <c r="A1600">
        <v>2599</v>
      </c>
      <c r="B1600" t="s">
        <v>1640</v>
      </c>
      <c r="C1600" t="s">
        <v>10</v>
      </c>
      <c r="D1600" t="s">
        <v>14</v>
      </c>
      <c r="E1600" t="s">
        <v>18</v>
      </c>
      <c r="F1600" t="s">
        <v>21</v>
      </c>
      <c r="G1600">
        <v>31</v>
      </c>
      <c r="H1600" s="13">
        <v>38526</v>
      </c>
      <c r="I1600" s="13">
        <v>29235</v>
      </c>
      <c r="J1600" t="s">
        <v>26</v>
      </c>
      <c r="K1600" s="13">
        <f>HR_Data[[#This Row],[Salary]]+HR_Data[[#This Row],[Bonus]]</f>
        <v>67761</v>
      </c>
    </row>
    <row r="1601" spans="1:11" x14ac:dyDescent="0.25">
      <c r="A1601">
        <v>2600</v>
      </c>
      <c r="B1601" t="s">
        <v>1641</v>
      </c>
      <c r="C1601" t="s">
        <v>11</v>
      </c>
      <c r="D1601" t="s">
        <v>14</v>
      </c>
      <c r="E1601" t="s">
        <v>19</v>
      </c>
      <c r="F1601" t="s">
        <v>24</v>
      </c>
      <c r="G1601">
        <v>40</v>
      </c>
      <c r="H1601" s="13">
        <v>29340</v>
      </c>
      <c r="I1601" s="13">
        <v>8679</v>
      </c>
      <c r="J1601" t="s">
        <v>25</v>
      </c>
      <c r="K1601" s="13">
        <f>HR_Data[[#This Row],[Salary]]+HR_Data[[#This Row],[Bonus]]</f>
        <v>38019</v>
      </c>
    </row>
    <row r="1602" spans="1:11" x14ac:dyDescent="0.25">
      <c r="A1602">
        <v>2601</v>
      </c>
      <c r="B1602" t="s">
        <v>1642</v>
      </c>
      <c r="C1602" t="s">
        <v>12</v>
      </c>
      <c r="D1602" t="s">
        <v>27</v>
      </c>
      <c r="E1602" t="s">
        <v>19</v>
      </c>
      <c r="F1602" t="s">
        <v>22</v>
      </c>
      <c r="G1602">
        <v>51</v>
      </c>
      <c r="H1602" s="13">
        <v>42394</v>
      </c>
      <c r="I1602" s="13">
        <v>12540</v>
      </c>
      <c r="J1602" t="s">
        <v>25</v>
      </c>
      <c r="K1602" s="13">
        <f>HR_Data[[#This Row],[Salary]]+HR_Data[[#This Row],[Bonus]]</f>
        <v>54934</v>
      </c>
    </row>
    <row r="1603" spans="1:11" x14ac:dyDescent="0.25">
      <c r="A1603">
        <v>2602</v>
      </c>
      <c r="B1603" t="s">
        <v>1643</v>
      </c>
      <c r="C1603" t="s">
        <v>8</v>
      </c>
      <c r="D1603" t="s">
        <v>14</v>
      </c>
      <c r="E1603" t="s">
        <v>16</v>
      </c>
      <c r="F1603" t="s">
        <v>21</v>
      </c>
      <c r="G1603">
        <v>43</v>
      </c>
      <c r="H1603" s="13">
        <v>118557</v>
      </c>
      <c r="I1603" s="13">
        <v>14488</v>
      </c>
      <c r="J1603" t="s">
        <v>26</v>
      </c>
      <c r="K1603" s="13">
        <f>HR_Data[[#This Row],[Salary]]+HR_Data[[#This Row],[Bonus]]</f>
        <v>133045</v>
      </c>
    </row>
    <row r="1604" spans="1:11" x14ac:dyDescent="0.25">
      <c r="A1604">
        <v>2603</v>
      </c>
      <c r="B1604" t="s">
        <v>1644</v>
      </c>
      <c r="C1604" t="s">
        <v>2042</v>
      </c>
      <c r="D1604" t="s">
        <v>14</v>
      </c>
      <c r="E1604" t="s">
        <v>17</v>
      </c>
      <c r="F1604" t="s">
        <v>22</v>
      </c>
      <c r="G1604">
        <v>24</v>
      </c>
      <c r="H1604" s="13">
        <v>24102</v>
      </c>
      <c r="I1604" s="13">
        <v>12074</v>
      </c>
      <c r="J1604" t="s">
        <v>25</v>
      </c>
      <c r="K1604" s="13">
        <f>HR_Data[[#This Row],[Salary]]+HR_Data[[#This Row],[Bonus]]</f>
        <v>36176</v>
      </c>
    </row>
    <row r="1605" spans="1:11" x14ac:dyDescent="0.25">
      <c r="A1605">
        <v>2604</v>
      </c>
      <c r="B1605" t="s">
        <v>1645</v>
      </c>
      <c r="C1605" t="s">
        <v>12</v>
      </c>
      <c r="D1605" t="s">
        <v>14</v>
      </c>
      <c r="E1605" t="s">
        <v>20</v>
      </c>
      <c r="F1605" t="s">
        <v>21</v>
      </c>
      <c r="G1605">
        <v>58</v>
      </c>
      <c r="H1605" s="13">
        <v>39159</v>
      </c>
      <c r="I1605" s="13">
        <v>8996</v>
      </c>
      <c r="J1605" t="s">
        <v>25</v>
      </c>
      <c r="K1605" s="13">
        <f>HR_Data[[#This Row],[Salary]]+HR_Data[[#This Row],[Bonus]]</f>
        <v>48155</v>
      </c>
    </row>
    <row r="1606" spans="1:11" x14ac:dyDescent="0.25">
      <c r="A1606">
        <v>2605</v>
      </c>
      <c r="B1606" t="s">
        <v>1646</v>
      </c>
      <c r="C1606" t="s">
        <v>11</v>
      </c>
      <c r="D1606" t="s">
        <v>15</v>
      </c>
      <c r="E1606" t="s">
        <v>19</v>
      </c>
      <c r="F1606" t="s">
        <v>21</v>
      </c>
      <c r="G1606">
        <v>39</v>
      </c>
      <c r="H1606" s="13">
        <v>85092</v>
      </c>
      <c r="I1606" s="13">
        <v>26170</v>
      </c>
      <c r="J1606" t="s">
        <v>25</v>
      </c>
      <c r="K1606" s="13">
        <f>HR_Data[[#This Row],[Salary]]+HR_Data[[#This Row],[Bonus]]</f>
        <v>111262</v>
      </c>
    </row>
    <row r="1607" spans="1:11" x14ac:dyDescent="0.25">
      <c r="A1607">
        <v>2606</v>
      </c>
      <c r="B1607" t="s">
        <v>1647</v>
      </c>
      <c r="C1607" t="s">
        <v>12</v>
      </c>
      <c r="D1607" t="s">
        <v>14</v>
      </c>
      <c r="E1607" t="s">
        <v>17</v>
      </c>
      <c r="F1607" t="s">
        <v>23</v>
      </c>
      <c r="G1607">
        <v>32</v>
      </c>
      <c r="H1607" s="13">
        <v>26212</v>
      </c>
      <c r="I1607" s="13">
        <v>10695</v>
      </c>
      <c r="J1607" t="s">
        <v>25</v>
      </c>
      <c r="K1607" s="13">
        <f>HR_Data[[#This Row],[Salary]]+HR_Data[[#This Row],[Bonus]]</f>
        <v>36907</v>
      </c>
    </row>
    <row r="1608" spans="1:11" x14ac:dyDescent="0.25">
      <c r="A1608">
        <v>2607</v>
      </c>
      <c r="B1608" t="s">
        <v>1648</v>
      </c>
      <c r="C1608" t="s">
        <v>9</v>
      </c>
      <c r="D1608" t="s">
        <v>15</v>
      </c>
      <c r="E1608" t="s">
        <v>20</v>
      </c>
      <c r="F1608" t="s">
        <v>23</v>
      </c>
      <c r="G1608">
        <v>23</v>
      </c>
      <c r="H1608" s="13">
        <v>117360</v>
      </c>
      <c r="I1608" s="13">
        <v>28382</v>
      </c>
      <c r="J1608" t="s">
        <v>25</v>
      </c>
      <c r="K1608" s="13">
        <f>HR_Data[[#This Row],[Salary]]+HR_Data[[#This Row],[Bonus]]</f>
        <v>145742</v>
      </c>
    </row>
    <row r="1609" spans="1:11" x14ac:dyDescent="0.25">
      <c r="A1609">
        <v>2608</v>
      </c>
      <c r="B1609" t="s">
        <v>1649</v>
      </c>
      <c r="C1609" t="s">
        <v>2042</v>
      </c>
      <c r="D1609" t="s">
        <v>15</v>
      </c>
      <c r="E1609" t="s">
        <v>19</v>
      </c>
      <c r="F1609" t="s">
        <v>23</v>
      </c>
      <c r="G1609">
        <v>33</v>
      </c>
      <c r="H1609" s="13">
        <v>57405</v>
      </c>
      <c r="I1609" s="13">
        <v>19235</v>
      </c>
      <c r="J1609" t="s">
        <v>26</v>
      </c>
      <c r="K1609" s="13">
        <f>HR_Data[[#This Row],[Salary]]+HR_Data[[#This Row],[Bonus]]</f>
        <v>76640</v>
      </c>
    </row>
    <row r="1610" spans="1:11" x14ac:dyDescent="0.25">
      <c r="A1610">
        <v>2609</v>
      </c>
      <c r="B1610" t="s">
        <v>1650</v>
      </c>
      <c r="C1610" t="s">
        <v>11</v>
      </c>
      <c r="D1610" t="s">
        <v>15</v>
      </c>
      <c r="E1610" t="s">
        <v>20</v>
      </c>
      <c r="F1610" t="s">
        <v>21</v>
      </c>
      <c r="G1610">
        <v>27</v>
      </c>
      <c r="H1610" s="13">
        <v>97061</v>
      </c>
      <c r="I1610" s="13">
        <v>7366</v>
      </c>
      <c r="J1610" t="s">
        <v>25</v>
      </c>
      <c r="K1610" s="13">
        <f>HR_Data[[#This Row],[Salary]]+HR_Data[[#This Row],[Bonus]]</f>
        <v>104427</v>
      </c>
    </row>
    <row r="1611" spans="1:11" x14ac:dyDescent="0.25">
      <c r="A1611">
        <v>2610</v>
      </c>
      <c r="B1611" t="s">
        <v>1651</v>
      </c>
      <c r="C1611" t="s">
        <v>11</v>
      </c>
      <c r="D1611" t="s">
        <v>15</v>
      </c>
      <c r="E1611" t="s">
        <v>17</v>
      </c>
      <c r="F1611" t="s">
        <v>24</v>
      </c>
      <c r="G1611">
        <v>50</v>
      </c>
      <c r="H1611" s="13">
        <v>114296</v>
      </c>
      <c r="I1611" s="13">
        <v>19164</v>
      </c>
      <c r="J1611" t="s">
        <v>25</v>
      </c>
      <c r="K1611" s="13">
        <f>HR_Data[[#This Row],[Salary]]+HR_Data[[#This Row],[Bonus]]</f>
        <v>133460</v>
      </c>
    </row>
    <row r="1612" spans="1:11" x14ac:dyDescent="0.25">
      <c r="A1612">
        <v>2611</v>
      </c>
      <c r="B1612" t="s">
        <v>1652</v>
      </c>
      <c r="C1612" t="s">
        <v>10</v>
      </c>
      <c r="D1612" t="s">
        <v>15</v>
      </c>
      <c r="E1612" t="s">
        <v>18</v>
      </c>
      <c r="F1612" t="s">
        <v>22</v>
      </c>
      <c r="G1612">
        <v>51</v>
      </c>
      <c r="H1612" s="13">
        <v>75186</v>
      </c>
      <c r="I1612" s="13">
        <v>11764</v>
      </c>
      <c r="J1612" t="s">
        <v>25</v>
      </c>
      <c r="K1612" s="13">
        <f>HR_Data[[#This Row],[Salary]]+HR_Data[[#This Row],[Bonus]]</f>
        <v>86950</v>
      </c>
    </row>
    <row r="1613" spans="1:11" x14ac:dyDescent="0.25">
      <c r="A1613">
        <v>2612</v>
      </c>
      <c r="B1613" t="s">
        <v>1653</v>
      </c>
      <c r="C1613" t="s">
        <v>27</v>
      </c>
      <c r="D1613" t="s">
        <v>14</v>
      </c>
      <c r="E1613" t="s">
        <v>17</v>
      </c>
      <c r="F1613" t="s">
        <v>22</v>
      </c>
      <c r="G1613">
        <v>23</v>
      </c>
      <c r="H1613" s="13">
        <v>64239</v>
      </c>
      <c r="I1613" s="13">
        <v>20527</v>
      </c>
      <c r="J1613" t="s">
        <v>26</v>
      </c>
      <c r="K1613" s="13">
        <f>HR_Data[[#This Row],[Salary]]+HR_Data[[#This Row],[Bonus]]</f>
        <v>84766</v>
      </c>
    </row>
    <row r="1614" spans="1:11" x14ac:dyDescent="0.25">
      <c r="A1614">
        <v>2613</v>
      </c>
      <c r="B1614" t="s">
        <v>1654</v>
      </c>
      <c r="C1614" t="s">
        <v>10</v>
      </c>
      <c r="D1614" t="s">
        <v>14</v>
      </c>
      <c r="E1614" t="s">
        <v>16</v>
      </c>
      <c r="F1614" t="s">
        <v>22</v>
      </c>
      <c r="G1614">
        <v>30</v>
      </c>
      <c r="H1614" s="13">
        <v>112993</v>
      </c>
      <c r="I1614" s="13">
        <v>21292</v>
      </c>
      <c r="J1614" t="s">
        <v>25</v>
      </c>
      <c r="K1614" s="13">
        <f>HR_Data[[#This Row],[Salary]]+HR_Data[[#This Row],[Bonus]]</f>
        <v>134285</v>
      </c>
    </row>
    <row r="1615" spans="1:11" x14ac:dyDescent="0.25">
      <c r="A1615">
        <v>2614</v>
      </c>
      <c r="B1615" t="s">
        <v>1655</v>
      </c>
      <c r="C1615" t="s">
        <v>11</v>
      </c>
      <c r="D1615" t="s">
        <v>14</v>
      </c>
      <c r="E1615" t="s">
        <v>20</v>
      </c>
      <c r="F1615" t="s">
        <v>23</v>
      </c>
      <c r="G1615">
        <v>23</v>
      </c>
      <c r="H1615" s="13">
        <v>30532</v>
      </c>
      <c r="I1615" s="13">
        <v>6614</v>
      </c>
      <c r="J1615" t="s">
        <v>25</v>
      </c>
      <c r="K1615" s="13">
        <f>HR_Data[[#This Row],[Salary]]+HR_Data[[#This Row],[Bonus]]</f>
        <v>37146</v>
      </c>
    </row>
    <row r="1616" spans="1:11" x14ac:dyDescent="0.25">
      <c r="A1616">
        <v>2615</v>
      </c>
      <c r="B1616" t="s">
        <v>1656</v>
      </c>
      <c r="C1616" t="s">
        <v>2042</v>
      </c>
      <c r="D1616" t="s">
        <v>15</v>
      </c>
      <c r="E1616" t="s">
        <v>18</v>
      </c>
      <c r="F1616" t="s">
        <v>21</v>
      </c>
      <c r="G1616">
        <v>50</v>
      </c>
      <c r="H1616" s="13">
        <v>99054</v>
      </c>
      <c r="I1616" s="13">
        <v>25939</v>
      </c>
      <c r="J1616" t="s">
        <v>25</v>
      </c>
      <c r="K1616" s="13">
        <f>HR_Data[[#This Row],[Salary]]+HR_Data[[#This Row],[Bonus]]</f>
        <v>124993</v>
      </c>
    </row>
    <row r="1617" spans="1:11" x14ac:dyDescent="0.25">
      <c r="A1617">
        <v>2616</v>
      </c>
      <c r="B1617" t="s">
        <v>1657</v>
      </c>
      <c r="C1617" t="s">
        <v>12</v>
      </c>
      <c r="D1617" t="s">
        <v>14</v>
      </c>
      <c r="E1617" t="s">
        <v>20</v>
      </c>
      <c r="F1617" t="s">
        <v>23</v>
      </c>
      <c r="G1617">
        <v>54</v>
      </c>
      <c r="H1617" s="13">
        <v>92012</v>
      </c>
      <c r="I1617" s="13">
        <v>19396</v>
      </c>
      <c r="J1617" t="s">
        <v>25</v>
      </c>
      <c r="K1617" s="13">
        <f>HR_Data[[#This Row],[Salary]]+HR_Data[[#This Row],[Bonus]]</f>
        <v>111408</v>
      </c>
    </row>
    <row r="1618" spans="1:11" x14ac:dyDescent="0.25">
      <c r="A1618">
        <v>2617</v>
      </c>
      <c r="B1618" t="s">
        <v>1658</v>
      </c>
      <c r="C1618" t="s">
        <v>12</v>
      </c>
      <c r="D1618" t="s">
        <v>14</v>
      </c>
      <c r="E1618" t="s">
        <v>20</v>
      </c>
      <c r="F1618" t="s">
        <v>24</v>
      </c>
      <c r="G1618">
        <v>31</v>
      </c>
      <c r="H1618" s="13">
        <v>105279</v>
      </c>
      <c r="I1618" s="13">
        <v>23800</v>
      </c>
      <c r="J1618" t="s">
        <v>25</v>
      </c>
      <c r="K1618" s="13">
        <f>HR_Data[[#This Row],[Salary]]+HR_Data[[#This Row],[Bonus]]</f>
        <v>129079</v>
      </c>
    </row>
    <row r="1619" spans="1:11" x14ac:dyDescent="0.25">
      <c r="A1619">
        <v>2618</v>
      </c>
      <c r="B1619" t="s">
        <v>1659</v>
      </c>
      <c r="C1619" t="s">
        <v>2042</v>
      </c>
      <c r="D1619" t="s">
        <v>14</v>
      </c>
      <c r="E1619" t="s">
        <v>19</v>
      </c>
      <c r="F1619" t="s">
        <v>21</v>
      </c>
      <c r="G1619">
        <v>55</v>
      </c>
      <c r="H1619" s="13">
        <v>86540</v>
      </c>
      <c r="I1619" s="13">
        <v>28672</v>
      </c>
      <c r="J1619" t="s">
        <v>25</v>
      </c>
      <c r="K1619" s="13">
        <f>HR_Data[[#This Row],[Salary]]+HR_Data[[#This Row],[Bonus]]</f>
        <v>115212</v>
      </c>
    </row>
    <row r="1620" spans="1:11" x14ac:dyDescent="0.25">
      <c r="A1620">
        <v>2619</v>
      </c>
      <c r="B1620" t="s">
        <v>1660</v>
      </c>
      <c r="C1620" t="s">
        <v>11</v>
      </c>
      <c r="D1620" t="s">
        <v>14</v>
      </c>
      <c r="E1620" t="s">
        <v>16</v>
      </c>
      <c r="F1620" t="s">
        <v>22</v>
      </c>
      <c r="G1620">
        <v>29</v>
      </c>
      <c r="H1620" s="13">
        <v>23271</v>
      </c>
      <c r="I1620" s="13">
        <v>28246</v>
      </c>
      <c r="J1620" t="s">
        <v>25</v>
      </c>
      <c r="K1620" s="13">
        <f>HR_Data[[#This Row],[Salary]]+HR_Data[[#This Row],[Bonus]]</f>
        <v>51517</v>
      </c>
    </row>
    <row r="1621" spans="1:11" x14ac:dyDescent="0.25">
      <c r="A1621">
        <v>2620</v>
      </c>
      <c r="B1621" t="s">
        <v>1661</v>
      </c>
      <c r="C1621" t="s">
        <v>12</v>
      </c>
      <c r="D1621" t="s">
        <v>14</v>
      </c>
      <c r="E1621" t="s">
        <v>20</v>
      </c>
      <c r="F1621" t="s">
        <v>23</v>
      </c>
      <c r="G1621">
        <v>58</v>
      </c>
      <c r="H1621" s="13">
        <v>65482</v>
      </c>
      <c r="I1621" s="13">
        <v>25037</v>
      </c>
      <c r="J1621" t="s">
        <v>25</v>
      </c>
      <c r="K1621" s="13">
        <f>HR_Data[[#This Row],[Salary]]+HR_Data[[#This Row],[Bonus]]</f>
        <v>90519</v>
      </c>
    </row>
    <row r="1622" spans="1:11" x14ac:dyDescent="0.25">
      <c r="A1622">
        <v>2621</v>
      </c>
      <c r="B1622" t="s">
        <v>1662</v>
      </c>
      <c r="C1622" t="s">
        <v>12</v>
      </c>
      <c r="D1622" t="s">
        <v>15</v>
      </c>
      <c r="E1622" t="s">
        <v>17</v>
      </c>
      <c r="F1622" t="s">
        <v>23</v>
      </c>
      <c r="G1622">
        <v>54</v>
      </c>
      <c r="H1622" s="13">
        <v>20209</v>
      </c>
      <c r="I1622" s="13">
        <v>28023</v>
      </c>
      <c r="J1622" t="s">
        <v>25</v>
      </c>
      <c r="K1622" s="13">
        <f>HR_Data[[#This Row],[Salary]]+HR_Data[[#This Row],[Bonus]]</f>
        <v>48232</v>
      </c>
    </row>
    <row r="1623" spans="1:11" x14ac:dyDescent="0.25">
      <c r="A1623">
        <v>2622</v>
      </c>
      <c r="B1623" t="s">
        <v>1663</v>
      </c>
      <c r="C1623" t="s">
        <v>12</v>
      </c>
      <c r="D1623" t="s">
        <v>14</v>
      </c>
      <c r="E1623" t="s">
        <v>17</v>
      </c>
      <c r="F1623" t="s">
        <v>24</v>
      </c>
      <c r="G1623">
        <v>27</v>
      </c>
      <c r="H1623" s="13">
        <v>110999</v>
      </c>
      <c r="I1623" s="13">
        <v>21880</v>
      </c>
      <c r="J1623" t="s">
        <v>25</v>
      </c>
      <c r="K1623" s="13">
        <f>HR_Data[[#This Row],[Salary]]+HR_Data[[#This Row],[Bonus]]</f>
        <v>132879</v>
      </c>
    </row>
    <row r="1624" spans="1:11" x14ac:dyDescent="0.25">
      <c r="A1624">
        <v>2623</v>
      </c>
      <c r="B1624" t="s">
        <v>1664</v>
      </c>
      <c r="C1624" t="s">
        <v>8</v>
      </c>
      <c r="D1624" t="s">
        <v>15</v>
      </c>
      <c r="E1624" t="s">
        <v>19</v>
      </c>
      <c r="F1624" t="s">
        <v>24</v>
      </c>
      <c r="G1624">
        <v>40</v>
      </c>
      <c r="H1624" s="13">
        <v>25539</v>
      </c>
      <c r="I1624" s="13">
        <v>21888</v>
      </c>
      <c r="J1624" t="s">
        <v>25</v>
      </c>
      <c r="K1624" s="13">
        <f>HR_Data[[#This Row],[Salary]]+HR_Data[[#This Row],[Bonus]]</f>
        <v>47427</v>
      </c>
    </row>
    <row r="1625" spans="1:11" x14ac:dyDescent="0.25">
      <c r="A1625">
        <v>2624</v>
      </c>
      <c r="B1625" t="s">
        <v>1665</v>
      </c>
      <c r="C1625" t="s">
        <v>8</v>
      </c>
      <c r="D1625" t="s">
        <v>15</v>
      </c>
      <c r="E1625" t="s">
        <v>16</v>
      </c>
      <c r="F1625" t="s">
        <v>23</v>
      </c>
      <c r="G1625">
        <v>53</v>
      </c>
      <c r="H1625" s="13">
        <v>39977</v>
      </c>
      <c r="I1625" s="13">
        <v>29083</v>
      </c>
      <c r="J1625" t="s">
        <v>25</v>
      </c>
      <c r="K1625" s="13">
        <f>HR_Data[[#This Row],[Salary]]+HR_Data[[#This Row],[Bonus]]</f>
        <v>69060</v>
      </c>
    </row>
    <row r="1626" spans="1:11" x14ac:dyDescent="0.25">
      <c r="A1626">
        <v>2625</v>
      </c>
      <c r="B1626" t="s">
        <v>1666</v>
      </c>
      <c r="C1626" t="s">
        <v>9</v>
      </c>
      <c r="D1626" t="s">
        <v>15</v>
      </c>
      <c r="E1626" t="s">
        <v>16</v>
      </c>
      <c r="F1626" t="s">
        <v>24</v>
      </c>
      <c r="G1626">
        <v>48</v>
      </c>
      <c r="H1626" s="13">
        <v>94142</v>
      </c>
      <c r="I1626" s="13">
        <v>10733</v>
      </c>
      <c r="J1626" t="s">
        <v>25</v>
      </c>
      <c r="K1626" s="13">
        <f>HR_Data[[#This Row],[Salary]]+HR_Data[[#This Row],[Bonus]]</f>
        <v>104875</v>
      </c>
    </row>
    <row r="1627" spans="1:11" x14ac:dyDescent="0.25">
      <c r="A1627">
        <v>2626</v>
      </c>
      <c r="B1627" t="s">
        <v>1667</v>
      </c>
      <c r="C1627" t="s">
        <v>10</v>
      </c>
      <c r="D1627" t="s">
        <v>15</v>
      </c>
      <c r="E1627" t="s">
        <v>17</v>
      </c>
      <c r="F1627" t="s">
        <v>22</v>
      </c>
      <c r="G1627">
        <v>22</v>
      </c>
      <c r="H1627" s="13">
        <v>119588</v>
      </c>
      <c r="I1627" s="13">
        <v>29439</v>
      </c>
      <c r="J1627" t="s">
        <v>26</v>
      </c>
      <c r="K1627" s="13">
        <f>HR_Data[[#This Row],[Salary]]+HR_Data[[#This Row],[Bonus]]</f>
        <v>149027</v>
      </c>
    </row>
    <row r="1628" spans="1:11" x14ac:dyDescent="0.25">
      <c r="A1628">
        <v>2627</v>
      </c>
      <c r="B1628" t="s">
        <v>1668</v>
      </c>
      <c r="C1628" t="s">
        <v>2042</v>
      </c>
      <c r="D1628" t="s">
        <v>15</v>
      </c>
      <c r="E1628" t="s">
        <v>18</v>
      </c>
      <c r="F1628" t="s">
        <v>24</v>
      </c>
      <c r="G1628">
        <v>54</v>
      </c>
      <c r="H1628" s="13">
        <v>88684</v>
      </c>
      <c r="I1628" s="13">
        <v>8216</v>
      </c>
      <c r="J1628" t="s">
        <v>25</v>
      </c>
      <c r="K1628" s="13">
        <f>HR_Data[[#This Row],[Salary]]+HR_Data[[#This Row],[Bonus]]</f>
        <v>96900</v>
      </c>
    </row>
    <row r="1629" spans="1:11" x14ac:dyDescent="0.25">
      <c r="A1629">
        <v>2628</v>
      </c>
      <c r="B1629" t="s">
        <v>1669</v>
      </c>
      <c r="C1629" t="s">
        <v>2042</v>
      </c>
      <c r="D1629" t="s">
        <v>14</v>
      </c>
      <c r="E1629" t="s">
        <v>19</v>
      </c>
      <c r="F1629" t="s">
        <v>24</v>
      </c>
      <c r="G1629">
        <v>53</v>
      </c>
      <c r="H1629" s="13">
        <v>119072</v>
      </c>
      <c r="I1629" s="13">
        <v>27072</v>
      </c>
      <c r="J1629" t="s">
        <v>25</v>
      </c>
      <c r="K1629" s="13">
        <f>HR_Data[[#This Row],[Salary]]+HR_Data[[#This Row],[Bonus]]</f>
        <v>146144</v>
      </c>
    </row>
    <row r="1630" spans="1:11" x14ac:dyDescent="0.25">
      <c r="A1630">
        <v>2629</v>
      </c>
      <c r="B1630" t="s">
        <v>1670</v>
      </c>
      <c r="C1630" t="s">
        <v>2042</v>
      </c>
      <c r="D1630" t="s">
        <v>14</v>
      </c>
      <c r="E1630" t="s">
        <v>19</v>
      </c>
      <c r="F1630" t="s">
        <v>23</v>
      </c>
      <c r="G1630">
        <v>26</v>
      </c>
      <c r="H1630" s="13">
        <v>25607</v>
      </c>
      <c r="I1630" s="13">
        <v>9364</v>
      </c>
      <c r="J1630" t="s">
        <v>25</v>
      </c>
      <c r="K1630" s="13">
        <f>HR_Data[[#This Row],[Salary]]+HR_Data[[#This Row],[Bonus]]</f>
        <v>34971</v>
      </c>
    </row>
    <row r="1631" spans="1:11" x14ac:dyDescent="0.25">
      <c r="A1631">
        <v>2630</v>
      </c>
      <c r="B1631" t="s">
        <v>1671</v>
      </c>
      <c r="C1631" t="s">
        <v>9</v>
      </c>
      <c r="D1631" t="s">
        <v>14</v>
      </c>
      <c r="E1631" t="s">
        <v>17</v>
      </c>
      <c r="F1631" t="s">
        <v>23</v>
      </c>
      <c r="G1631">
        <v>38</v>
      </c>
      <c r="H1631" s="13">
        <v>105122</v>
      </c>
      <c r="I1631" s="13">
        <v>17269</v>
      </c>
      <c r="J1631" t="s">
        <v>25</v>
      </c>
      <c r="K1631" s="13">
        <f>HR_Data[[#This Row],[Salary]]+HR_Data[[#This Row],[Bonus]]</f>
        <v>122391</v>
      </c>
    </row>
    <row r="1632" spans="1:11" x14ac:dyDescent="0.25">
      <c r="A1632">
        <v>2631</v>
      </c>
      <c r="B1632" t="s">
        <v>1672</v>
      </c>
      <c r="C1632" t="s">
        <v>8</v>
      </c>
      <c r="D1632" t="s">
        <v>15</v>
      </c>
      <c r="E1632" t="s">
        <v>17</v>
      </c>
      <c r="F1632" t="s">
        <v>21</v>
      </c>
      <c r="G1632">
        <v>29</v>
      </c>
      <c r="H1632" s="13">
        <v>114786</v>
      </c>
      <c r="I1632" s="13">
        <v>27426</v>
      </c>
      <c r="J1632" t="s">
        <v>25</v>
      </c>
      <c r="K1632" s="13">
        <f>HR_Data[[#This Row],[Salary]]+HR_Data[[#This Row],[Bonus]]</f>
        <v>142212</v>
      </c>
    </row>
    <row r="1633" spans="1:11" x14ac:dyDescent="0.25">
      <c r="A1633">
        <v>2632</v>
      </c>
      <c r="B1633" t="s">
        <v>1673</v>
      </c>
      <c r="C1633" t="s">
        <v>11</v>
      </c>
      <c r="D1633" t="s">
        <v>14</v>
      </c>
      <c r="E1633" t="s">
        <v>18</v>
      </c>
      <c r="F1633" t="s">
        <v>21</v>
      </c>
      <c r="G1633">
        <v>55</v>
      </c>
      <c r="H1633" s="13">
        <v>71939</v>
      </c>
      <c r="I1633" s="13">
        <v>22861</v>
      </c>
      <c r="J1633" t="s">
        <v>25</v>
      </c>
      <c r="K1633" s="13">
        <f>HR_Data[[#This Row],[Salary]]+HR_Data[[#This Row],[Bonus]]</f>
        <v>94800</v>
      </c>
    </row>
    <row r="1634" spans="1:11" x14ac:dyDescent="0.25">
      <c r="A1634">
        <v>2633</v>
      </c>
      <c r="B1634" t="s">
        <v>1674</v>
      </c>
      <c r="C1634" t="s">
        <v>11</v>
      </c>
      <c r="D1634" t="s">
        <v>14</v>
      </c>
      <c r="E1634" t="s">
        <v>18</v>
      </c>
      <c r="F1634" t="s">
        <v>23</v>
      </c>
      <c r="G1634">
        <v>30</v>
      </c>
      <c r="H1634" s="13">
        <v>38594</v>
      </c>
      <c r="I1634" s="13">
        <v>18829</v>
      </c>
      <c r="J1634" t="s">
        <v>25</v>
      </c>
      <c r="K1634" s="13">
        <f>HR_Data[[#This Row],[Salary]]+HR_Data[[#This Row],[Bonus]]</f>
        <v>57423</v>
      </c>
    </row>
    <row r="1635" spans="1:11" x14ac:dyDescent="0.25">
      <c r="A1635">
        <v>2634</v>
      </c>
      <c r="B1635" t="s">
        <v>1675</v>
      </c>
      <c r="C1635" t="s">
        <v>9</v>
      </c>
      <c r="D1635" t="s">
        <v>15</v>
      </c>
      <c r="E1635" t="s">
        <v>16</v>
      </c>
      <c r="F1635" t="s">
        <v>24</v>
      </c>
      <c r="G1635">
        <v>44</v>
      </c>
      <c r="H1635" s="13">
        <v>78382</v>
      </c>
      <c r="I1635" s="13">
        <v>9960</v>
      </c>
      <c r="J1635" t="s">
        <v>25</v>
      </c>
      <c r="K1635" s="13">
        <f>HR_Data[[#This Row],[Salary]]+HR_Data[[#This Row],[Bonus]]</f>
        <v>88342</v>
      </c>
    </row>
    <row r="1636" spans="1:11" x14ac:dyDescent="0.25">
      <c r="A1636">
        <v>2635</v>
      </c>
      <c r="B1636" t="s">
        <v>1676</v>
      </c>
      <c r="C1636" t="s">
        <v>11</v>
      </c>
      <c r="D1636" t="s">
        <v>15</v>
      </c>
      <c r="E1636" t="s">
        <v>19</v>
      </c>
      <c r="F1636" t="s">
        <v>24</v>
      </c>
      <c r="G1636">
        <v>56</v>
      </c>
      <c r="H1636" s="13">
        <v>27399</v>
      </c>
      <c r="I1636" s="13">
        <v>23781</v>
      </c>
      <c r="J1636" t="s">
        <v>25</v>
      </c>
      <c r="K1636" s="13">
        <f>HR_Data[[#This Row],[Salary]]+HR_Data[[#This Row],[Bonus]]</f>
        <v>51180</v>
      </c>
    </row>
    <row r="1637" spans="1:11" x14ac:dyDescent="0.25">
      <c r="A1637">
        <v>2636</v>
      </c>
      <c r="B1637" t="s">
        <v>1677</v>
      </c>
      <c r="C1637" t="s">
        <v>2042</v>
      </c>
      <c r="D1637" t="s">
        <v>15</v>
      </c>
      <c r="E1637" t="s">
        <v>19</v>
      </c>
      <c r="F1637" t="s">
        <v>21</v>
      </c>
      <c r="G1637">
        <v>28</v>
      </c>
      <c r="H1637" s="13">
        <v>45117</v>
      </c>
      <c r="I1637" s="13">
        <v>13301</v>
      </c>
      <c r="J1637" t="s">
        <v>25</v>
      </c>
      <c r="K1637" s="13">
        <f>HR_Data[[#This Row],[Salary]]+HR_Data[[#This Row],[Bonus]]</f>
        <v>58418</v>
      </c>
    </row>
    <row r="1638" spans="1:11" x14ac:dyDescent="0.25">
      <c r="A1638">
        <v>2637</v>
      </c>
      <c r="B1638" t="s">
        <v>1678</v>
      </c>
      <c r="C1638" t="s">
        <v>10</v>
      </c>
      <c r="D1638" t="s">
        <v>15</v>
      </c>
      <c r="E1638" t="s">
        <v>17</v>
      </c>
      <c r="F1638" t="s">
        <v>21</v>
      </c>
      <c r="G1638">
        <v>36</v>
      </c>
      <c r="H1638" s="13">
        <v>118662</v>
      </c>
      <c r="I1638" s="13">
        <v>13841</v>
      </c>
      <c r="J1638" t="s">
        <v>26</v>
      </c>
      <c r="K1638" s="13">
        <f>HR_Data[[#This Row],[Salary]]+HR_Data[[#This Row],[Bonus]]</f>
        <v>132503</v>
      </c>
    </row>
    <row r="1639" spans="1:11" x14ac:dyDescent="0.25">
      <c r="A1639">
        <v>2638</v>
      </c>
      <c r="B1639" t="s">
        <v>1679</v>
      </c>
      <c r="C1639" t="s">
        <v>12</v>
      </c>
      <c r="D1639" t="s">
        <v>14</v>
      </c>
      <c r="E1639" t="s">
        <v>16</v>
      </c>
      <c r="F1639" t="s">
        <v>21</v>
      </c>
      <c r="G1639">
        <v>41</v>
      </c>
      <c r="H1639" s="13">
        <v>53617</v>
      </c>
      <c r="I1639" s="13">
        <v>27578</v>
      </c>
      <c r="J1639" t="s">
        <v>25</v>
      </c>
      <c r="K1639" s="13">
        <f>HR_Data[[#This Row],[Salary]]+HR_Data[[#This Row],[Bonus]]</f>
        <v>81195</v>
      </c>
    </row>
    <row r="1640" spans="1:11" x14ac:dyDescent="0.25">
      <c r="A1640">
        <v>2639</v>
      </c>
      <c r="B1640" t="s">
        <v>1680</v>
      </c>
      <c r="C1640" t="s">
        <v>8</v>
      </c>
      <c r="D1640" t="s">
        <v>15</v>
      </c>
      <c r="E1640" t="s">
        <v>19</v>
      </c>
      <c r="F1640" t="s">
        <v>22</v>
      </c>
      <c r="G1640">
        <v>46</v>
      </c>
      <c r="H1640" s="13">
        <v>27498</v>
      </c>
      <c r="I1640" s="13">
        <v>28954</v>
      </c>
      <c r="J1640" t="s">
        <v>25</v>
      </c>
      <c r="K1640" s="13">
        <f>HR_Data[[#This Row],[Salary]]+HR_Data[[#This Row],[Bonus]]</f>
        <v>56452</v>
      </c>
    </row>
    <row r="1641" spans="1:11" x14ac:dyDescent="0.25">
      <c r="A1641">
        <v>2640</v>
      </c>
      <c r="B1641" t="s">
        <v>1681</v>
      </c>
      <c r="C1641" t="s">
        <v>8</v>
      </c>
      <c r="D1641" t="s">
        <v>15</v>
      </c>
      <c r="E1641" t="s">
        <v>16</v>
      </c>
      <c r="F1641" t="s">
        <v>22</v>
      </c>
      <c r="G1641">
        <v>24</v>
      </c>
      <c r="H1641" s="13">
        <v>70624</v>
      </c>
      <c r="I1641" s="13">
        <v>12730</v>
      </c>
      <c r="J1641" t="s">
        <v>25</v>
      </c>
      <c r="K1641" s="13">
        <f>HR_Data[[#This Row],[Salary]]+HR_Data[[#This Row],[Bonus]]</f>
        <v>83354</v>
      </c>
    </row>
    <row r="1642" spans="1:11" x14ac:dyDescent="0.25">
      <c r="A1642">
        <v>2641</v>
      </c>
      <c r="B1642" t="s">
        <v>1682</v>
      </c>
      <c r="C1642" t="s">
        <v>9</v>
      </c>
      <c r="D1642" t="s">
        <v>14</v>
      </c>
      <c r="E1642" t="s">
        <v>16</v>
      </c>
      <c r="F1642" t="s">
        <v>21</v>
      </c>
      <c r="G1642">
        <v>45</v>
      </c>
      <c r="H1642" s="13">
        <v>29628</v>
      </c>
      <c r="I1642" s="13">
        <v>22883</v>
      </c>
      <c r="J1642" t="s">
        <v>25</v>
      </c>
      <c r="K1642" s="13">
        <f>HR_Data[[#This Row],[Salary]]+HR_Data[[#This Row],[Bonus]]</f>
        <v>52511</v>
      </c>
    </row>
    <row r="1643" spans="1:11" x14ac:dyDescent="0.25">
      <c r="A1643">
        <v>2642</v>
      </c>
      <c r="B1643" t="s">
        <v>1683</v>
      </c>
      <c r="C1643" t="s">
        <v>8</v>
      </c>
      <c r="D1643" t="s">
        <v>14</v>
      </c>
      <c r="E1643" t="s">
        <v>17</v>
      </c>
      <c r="F1643" t="s">
        <v>24</v>
      </c>
      <c r="G1643">
        <v>55</v>
      </c>
      <c r="H1643" s="13">
        <v>20329</v>
      </c>
      <c r="I1643" s="13">
        <v>28619</v>
      </c>
      <c r="J1643" t="s">
        <v>25</v>
      </c>
      <c r="K1643" s="13">
        <f>HR_Data[[#This Row],[Salary]]+HR_Data[[#This Row],[Bonus]]</f>
        <v>48948</v>
      </c>
    </row>
    <row r="1644" spans="1:11" x14ac:dyDescent="0.25">
      <c r="A1644">
        <v>2643</v>
      </c>
      <c r="B1644" t="s">
        <v>1684</v>
      </c>
      <c r="C1644" t="s">
        <v>2042</v>
      </c>
      <c r="D1644" t="s">
        <v>15</v>
      </c>
      <c r="E1644" t="s">
        <v>16</v>
      </c>
      <c r="F1644" t="s">
        <v>21</v>
      </c>
      <c r="G1644">
        <v>43</v>
      </c>
      <c r="H1644" s="13">
        <v>58619</v>
      </c>
      <c r="I1644" s="13">
        <v>21979</v>
      </c>
      <c r="J1644" t="s">
        <v>25</v>
      </c>
      <c r="K1644" s="13">
        <f>HR_Data[[#This Row],[Salary]]+HR_Data[[#This Row],[Bonus]]</f>
        <v>80598</v>
      </c>
    </row>
    <row r="1645" spans="1:11" x14ac:dyDescent="0.25">
      <c r="A1645">
        <v>2644</v>
      </c>
      <c r="B1645" t="s">
        <v>1685</v>
      </c>
      <c r="C1645" t="s">
        <v>11</v>
      </c>
      <c r="D1645" t="s">
        <v>14</v>
      </c>
      <c r="E1645" t="s">
        <v>18</v>
      </c>
      <c r="F1645" t="s">
        <v>22</v>
      </c>
      <c r="G1645">
        <v>32</v>
      </c>
      <c r="H1645" s="13">
        <v>27032</v>
      </c>
      <c r="I1645" s="13">
        <v>5978</v>
      </c>
      <c r="J1645" t="s">
        <v>26</v>
      </c>
      <c r="K1645" s="13">
        <f>HR_Data[[#This Row],[Salary]]+HR_Data[[#This Row],[Bonus]]</f>
        <v>33010</v>
      </c>
    </row>
    <row r="1646" spans="1:11" x14ac:dyDescent="0.25">
      <c r="A1646">
        <v>2645</v>
      </c>
      <c r="B1646" t="s">
        <v>1686</v>
      </c>
      <c r="C1646" t="s">
        <v>2042</v>
      </c>
      <c r="D1646" t="s">
        <v>15</v>
      </c>
      <c r="E1646" t="s">
        <v>18</v>
      </c>
      <c r="F1646" t="s">
        <v>24</v>
      </c>
      <c r="G1646">
        <v>29</v>
      </c>
      <c r="H1646" s="13">
        <v>68094</v>
      </c>
      <c r="I1646" s="13">
        <v>5730</v>
      </c>
      <c r="J1646" t="s">
        <v>25</v>
      </c>
      <c r="K1646" s="13">
        <f>HR_Data[[#This Row],[Salary]]+HR_Data[[#This Row],[Bonus]]</f>
        <v>73824</v>
      </c>
    </row>
    <row r="1647" spans="1:11" x14ac:dyDescent="0.25">
      <c r="A1647">
        <v>2646</v>
      </c>
      <c r="B1647" t="s">
        <v>1687</v>
      </c>
      <c r="C1647" t="s">
        <v>9</v>
      </c>
      <c r="D1647" t="s">
        <v>15</v>
      </c>
      <c r="E1647" t="s">
        <v>20</v>
      </c>
      <c r="F1647" t="s">
        <v>22</v>
      </c>
      <c r="G1647">
        <v>56</v>
      </c>
      <c r="H1647" s="13">
        <v>58034</v>
      </c>
      <c r="I1647" s="13">
        <v>5056</v>
      </c>
      <c r="J1647" t="s">
        <v>25</v>
      </c>
      <c r="K1647" s="13">
        <f>HR_Data[[#This Row],[Salary]]+HR_Data[[#This Row],[Bonus]]</f>
        <v>63090</v>
      </c>
    </row>
    <row r="1648" spans="1:11" x14ac:dyDescent="0.25">
      <c r="A1648">
        <v>2647</v>
      </c>
      <c r="B1648" t="s">
        <v>1688</v>
      </c>
      <c r="C1648" t="s">
        <v>2042</v>
      </c>
      <c r="D1648" t="s">
        <v>14</v>
      </c>
      <c r="E1648" t="s">
        <v>17</v>
      </c>
      <c r="F1648" t="s">
        <v>24</v>
      </c>
      <c r="G1648">
        <v>59</v>
      </c>
      <c r="H1648" s="13">
        <v>106158</v>
      </c>
      <c r="I1648" s="13">
        <v>7243</v>
      </c>
      <c r="J1648" t="s">
        <v>25</v>
      </c>
      <c r="K1648" s="13">
        <f>HR_Data[[#This Row],[Salary]]+HR_Data[[#This Row],[Bonus]]</f>
        <v>113401</v>
      </c>
    </row>
    <row r="1649" spans="1:11" x14ac:dyDescent="0.25">
      <c r="A1649">
        <v>2648</v>
      </c>
      <c r="B1649" t="s">
        <v>1689</v>
      </c>
      <c r="C1649" t="s">
        <v>11</v>
      </c>
      <c r="D1649" t="s">
        <v>14</v>
      </c>
      <c r="E1649" t="s">
        <v>20</v>
      </c>
      <c r="F1649" t="s">
        <v>22</v>
      </c>
      <c r="G1649">
        <v>29</v>
      </c>
      <c r="H1649" s="13">
        <v>75264</v>
      </c>
      <c r="I1649" s="13">
        <v>27263</v>
      </c>
      <c r="J1649" t="s">
        <v>25</v>
      </c>
      <c r="K1649" s="13">
        <f>HR_Data[[#This Row],[Salary]]+HR_Data[[#This Row],[Bonus]]</f>
        <v>102527</v>
      </c>
    </row>
    <row r="1650" spans="1:11" x14ac:dyDescent="0.25">
      <c r="A1650">
        <v>2649</v>
      </c>
      <c r="B1650" t="s">
        <v>1690</v>
      </c>
      <c r="C1650" t="s">
        <v>10</v>
      </c>
      <c r="D1650" t="s">
        <v>15</v>
      </c>
      <c r="E1650" t="s">
        <v>18</v>
      </c>
      <c r="F1650" t="s">
        <v>24</v>
      </c>
      <c r="G1650">
        <v>58</v>
      </c>
      <c r="H1650" s="13">
        <v>114120</v>
      </c>
      <c r="I1650" s="13">
        <v>6701</v>
      </c>
      <c r="J1650" t="s">
        <v>25</v>
      </c>
      <c r="K1650" s="13">
        <f>HR_Data[[#This Row],[Salary]]+HR_Data[[#This Row],[Bonus]]</f>
        <v>120821</v>
      </c>
    </row>
    <row r="1651" spans="1:11" x14ac:dyDescent="0.25">
      <c r="A1651">
        <v>2650</v>
      </c>
      <c r="B1651" t="s">
        <v>1691</v>
      </c>
      <c r="C1651" t="s">
        <v>9</v>
      </c>
      <c r="D1651" t="s">
        <v>15</v>
      </c>
      <c r="E1651" t="s">
        <v>20</v>
      </c>
      <c r="F1651" t="s">
        <v>24</v>
      </c>
      <c r="G1651">
        <v>48</v>
      </c>
      <c r="H1651" s="13">
        <v>67850</v>
      </c>
      <c r="I1651" s="13">
        <v>28613</v>
      </c>
      <c r="J1651" t="s">
        <v>25</v>
      </c>
      <c r="K1651" s="13">
        <f>HR_Data[[#This Row],[Salary]]+HR_Data[[#This Row],[Bonus]]</f>
        <v>96463</v>
      </c>
    </row>
    <row r="1652" spans="1:11" x14ac:dyDescent="0.25">
      <c r="A1652">
        <v>2651</v>
      </c>
      <c r="B1652" t="s">
        <v>1692</v>
      </c>
      <c r="C1652" t="s">
        <v>10</v>
      </c>
      <c r="D1652" t="s">
        <v>15</v>
      </c>
      <c r="E1652" t="s">
        <v>17</v>
      </c>
      <c r="F1652" t="s">
        <v>24</v>
      </c>
      <c r="G1652">
        <v>49</v>
      </c>
      <c r="H1652" s="13">
        <v>24722</v>
      </c>
      <c r="I1652" s="13">
        <v>22670</v>
      </c>
      <c r="J1652" t="s">
        <v>25</v>
      </c>
      <c r="K1652" s="13">
        <f>HR_Data[[#This Row],[Salary]]+HR_Data[[#This Row],[Bonus]]</f>
        <v>47392</v>
      </c>
    </row>
    <row r="1653" spans="1:11" x14ac:dyDescent="0.25">
      <c r="A1653">
        <v>2652</v>
      </c>
      <c r="B1653" t="s">
        <v>1693</v>
      </c>
      <c r="C1653" t="s">
        <v>12</v>
      </c>
      <c r="D1653" t="s">
        <v>14</v>
      </c>
      <c r="E1653" t="s">
        <v>17</v>
      </c>
      <c r="F1653" t="s">
        <v>24</v>
      </c>
      <c r="G1653">
        <v>55</v>
      </c>
      <c r="H1653" s="13">
        <v>37772</v>
      </c>
      <c r="I1653" s="13">
        <v>13303</v>
      </c>
      <c r="J1653" t="s">
        <v>26</v>
      </c>
      <c r="K1653" s="13">
        <f>HR_Data[[#This Row],[Salary]]+HR_Data[[#This Row],[Bonus]]</f>
        <v>51075</v>
      </c>
    </row>
    <row r="1654" spans="1:11" x14ac:dyDescent="0.25">
      <c r="A1654">
        <v>2653</v>
      </c>
      <c r="B1654" t="s">
        <v>1694</v>
      </c>
      <c r="C1654" t="s">
        <v>10</v>
      </c>
      <c r="D1654" t="s">
        <v>15</v>
      </c>
      <c r="E1654" t="s">
        <v>16</v>
      </c>
      <c r="F1654" t="s">
        <v>23</v>
      </c>
      <c r="G1654">
        <v>53</v>
      </c>
      <c r="H1654" s="13">
        <v>106105</v>
      </c>
      <c r="I1654" s="13">
        <v>20100</v>
      </c>
      <c r="J1654" t="s">
        <v>25</v>
      </c>
      <c r="K1654" s="13">
        <f>HR_Data[[#This Row],[Salary]]+HR_Data[[#This Row],[Bonus]]</f>
        <v>126205</v>
      </c>
    </row>
    <row r="1655" spans="1:11" x14ac:dyDescent="0.25">
      <c r="A1655">
        <v>2654</v>
      </c>
      <c r="B1655" t="s">
        <v>1695</v>
      </c>
      <c r="C1655" t="s">
        <v>12</v>
      </c>
      <c r="D1655" t="s">
        <v>15</v>
      </c>
      <c r="E1655" t="s">
        <v>19</v>
      </c>
      <c r="F1655" t="s">
        <v>22</v>
      </c>
      <c r="G1655">
        <v>36</v>
      </c>
      <c r="H1655" s="13">
        <v>61679</v>
      </c>
      <c r="I1655" s="13">
        <v>17998</v>
      </c>
      <c r="J1655" t="s">
        <v>25</v>
      </c>
      <c r="K1655" s="13">
        <f>HR_Data[[#This Row],[Salary]]+HR_Data[[#This Row],[Bonus]]</f>
        <v>79677</v>
      </c>
    </row>
    <row r="1656" spans="1:11" x14ac:dyDescent="0.25">
      <c r="A1656">
        <v>2655</v>
      </c>
      <c r="B1656" t="s">
        <v>1696</v>
      </c>
      <c r="C1656" t="s">
        <v>12</v>
      </c>
      <c r="D1656" t="s">
        <v>15</v>
      </c>
      <c r="E1656" t="s">
        <v>16</v>
      </c>
      <c r="F1656" t="s">
        <v>22</v>
      </c>
      <c r="G1656">
        <v>38</v>
      </c>
      <c r="H1656" s="13">
        <v>88771</v>
      </c>
      <c r="I1656" s="13">
        <v>14393</v>
      </c>
      <c r="J1656" t="s">
        <v>26</v>
      </c>
      <c r="K1656" s="13">
        <f>HR_Data[[#This Row],[Salary]]+HR_Data[[#This Row],[Bonus]]</f>
        <v>103164</v>
      </c>
    </row>
    <row r="1657" spans="1:11" x14ac:dyDescent="0.25">
      <c r="A1657">
        <v>2656</v>
      </c>
      <c r="B1657" t="s">
        <v>1697</v>
      </c>
      <c r="C1657" t="s">
        <v>10</v>
      </c>
      <c r="D1657" t="s">
        <v>15</v>
      </c>
      <c r="E1657" t="s">
        <v>17</v>
      </c>
      <c r="F1657" t="s">
        <v>23</v>
      </c>
      <c r="G1657">
        <v>54</v>
      </c>
      <c r="H1657" s="13">
        <v>24576</v>
      </c>
      <c r="I1657" s="13">
        <v>5947</v>
      </c>
      <c r="J1657" t="s">
        <v>26</v>
      </c>
      <c r="K1657" s="13">
        <f>HR_Data[[#This Row],[Salary]]+HR_Data[[#This Row],[Bonus]]</f>
        <v>30523</v>
      </c>
    </row>
    <row r="1658" spans="1:11" x14ac:dyDescent="0.25">
      <c r="A1658">
        <v>2657</v>
      </c>
      <c r="B1658" t="s">
        <v>1698</v>
      </c>
      <c r="C1658" t="s">
        <v>9</v>
      </c>
      <c r="D1658" t="s">
        <v>15</v>
      </c>
      <c r="E1658" t="s">
        <v>18</v>
      </c>
      <c r="F1658" t="s">
        <v>24</v>
      </c>
      <c r="G1658">
        <v>37</v>
      </c>
      <c r="H1658" s="13">
        <v>69554.53</v>
      </c>
      <c r="I1658" s="13">
        <v>25505</v>
      </c>
      <c r="J1658" t="s">
        <v>25</v>
      </c>
      <c r="K1658" s="13">
        <f>HR_Data[[#This Row],[Salary]]+HR_Data[[#This Row],[Bonus]]</f>
        <v>95059.53</v>
      </c>
    </row>
    <row r="1659" spans="1:11" x14ac:dyDescent="0.25">
      <c r="A1659">
        <v>2658</v>
      </c>
      <c r="B1659" t="s">
        <v>1699</v>
      </c>
      <c r="C1659" t="s">
        <v>11</v>
      </c>
      <c r="D1659" t="s">
        <v>14</v>
      </c>
      <c r="E1659" t="s">
        <v>18</v>
      </c>
      <c r="F1659" t="s">
        <v>24</v>
      </c>
      <c r="G1659">
        <v>50</v>
      </c>
      <c r="H1659" s="13">
        <v>119404</v>
      </c>
      <c r="I1659" s="13">
        <v>11553</v>
      </c>
      <c r="J1659" t="s">
        <v>25</v>
      </c>
      <c r="K1659" s="13">
        <f>HR_Data[[#This Row],[Salary]]+HR_Data[[#This Row],[Bonus]]</f>
        <v>130957</v>
      </c>
    </row>
    <row r="1660" spans="1:11" x14ac:dyDescent="0.25">
      <c r="A1660">
        <v>2659</v>
      </c>
      <c r="B1660" t="s">
        <v>1700</v>
      </c>
      <c r="C1660" t="s">
        <v>2042</v>
      </c>
      <c r="D1660" t="s">
        <v>15</v>
      </c>
      <c r="E1660" t="s">
        <v>16</v>
      </c>
      <c r="F1660" t="s">
        <v>22</v>
      </c>
      <c r="G1660">
        <v>30</v>
      </c>
      <c r="H1660" s="13">
        <v>61632</v>
      </c>
      <c r="I1660" s="13">
        <v>5757</v>
      </c>
      <c r="J1660" t="s">
        <v>25</v>
      </c>
      <c r="K1660" s="13">
        <f>HR_Data[[#This Row],[Salary]]+HR_Data[[#This Row],[Bonus]]</f>
        <v>67389</v>
      </c>
    </row>
    <row r="1661" spans="1:11" x14ac:dyDescent="0.25">
      <c r="A1661">
        <v>2660</v>
      </c>
      <c r="B1661" t="s">
        <v>1701</v>
      </c>
      <c r="C1661" t="s">
        <v>2042</v>
      </c>
      <c r="D1661" t="s">
        <v>15</v>
      </c>
      <c r="E1661" t="s">
        <v>17</v>
      </c>
      <c r="F1661" t="s">
        <v>23</v>
      </c>
      <c r="G1661">
        <v>54</v>
      </c>
      <c r="H1661" s="13">
        <v>61476</v>
      </c>
      <c r="I1661" s="13">
        <v>19866</v>
      </c>
      <c r="J1661" t="s">
        <v>25</v>
      </c>
      <c r="K1661" s="13">
        <f>HR_Data[[#This Row],[Salary]]+HR_Data[[#This Row],[Bonus]]</f>
        <v>81342</v>
      </c>
    </row>
    <row r="1662" spans="1:11" x14ac:dyDescent="0.25">
      <c r="A1662">
        <v>2661</v>
      </c>
      <c r="B1662" t="s">
        <v>1702</v>
      </c>
      <c r="C1662" t="s">
        <v>11</v>
      </c>
      <c r="D1662" t="s">
        <v>15</v>
      </c>
      <c r="E1662" t="s">
        <v>18</v>
      </c>
      <c r="F1662" t="s">
        <v>24</v>
      </c>
      <c r="G1662">
        <v>50</v>
      </c>
      <c r="H1662" s="13">
        <v>50285</v>
      </c>
      <c r="I1662" s="13">
        <v>16580</v>
      </c>
      <c r="J1662" t="s">
        <v>25</v>
      </c>
      <c r="K1662" s="13">
        <f>HR_Data[[#This Row],[Salary]]+HR_Data[[#This Row],[Bonus]]</f>
        <v>66865</v>
      </c>
    </row>
    <row r="1663" spans="1:11" x14ac:dyDescent="0.25">
      <c r="A1663">
        <v>2662</v>
      </c>
      <c r="B1663" t="s">
        <v>1703</v>
      </c>
      <c r="C1663" t="s">
        <v>12</v>
      </c>
      <c r="D1663" t="s">
        <v>15</v>
      </c>
      <c r="E1663" t="s">
        <v>17</v>
      </c>
      <c r="F1663" t="s">
        <v>24</v>
      </c>
      <c r="G1663">
        <v>34</v>
      </c>
      <c r="H1663" s="13">
        <v>44154</v>
      </c>
      <c r="I1663" s="13">
        <v>10651</v>
      </c>
      <c r="J1663" t="s">
        <v>25</v>
      </c>
      <c r="K1663" s="13">
        <f>HR_Data[[#This Row],[Salary]]+HR_Data[[#This Row],[Bonus]]</f>
        <v>54805</v>
      </c>
    </row>
    <row r="1664" spans="1:11" x14ac:dyDescent="0.25">
      <c r="A1664">
        <v>2663</v>
      </c>
      <c r="B1664" t="s">
        <v>1704</v>
      </c>
      <c r="C1664" t="s">
        <v>12</v>
      </c>
      <c r="D1664" t="s">
        <v>14</v>
      </c>
      <c r="E1664" t="s">
        <v>18</v>
      </c>
      <c r="F1664" t="s">
        <v>24</v>
      </c>
      <c r="G1664">
        <v>42</v>
      </c>
      <c r="H1664" s="13">
        <v>40054</v>
      </c>
      <c r="I1664" s="13">
        <v>12273</v>
      </c>
      <c r="J1664" t="s">
        <v>26</v>
      </c>
      <c r="K1664" s="13">
        <f>HR_Data[[#This Row],[Salary]]+HR_Data[[#This Row],[Bonus]]</f>
        <v>52327</v>
      </c>
    </row>
    <row r="1665" spans="1:11" x14ac:dyDescent="0.25">
      <c r="A1665">
        <v>2664</v>
      </c>
      <c r="B1665" t="s">
        <v>1705</v>
      </c>
      <c r="C1665" t="s">
        <v>9</v>
      </c>
      <c r="D1665" t="s">
        <v>14</v>
      </c>
      <c r="E1665" t="s">
        <v>17</v>
      </c>
      <c r="F1665" t="s">
        <v>21</v>
      </c>
      <c r="G1665">
        <v>42</v>
      </c>
      <c r="H1665" s="13">
        <v>37165</v>
      </c>
      <c r="I1665" s="13">
        <v>15033</v>
      </c>
      <c r="J1665" t="s">
        <v>26</v>
      </c>
      <c r="K1665" s="13">
        <f>HR_Data[[#This Row],[Salary]]+HR_Data[[#This Row],[Bonus]]</f>
        <v>52198</v>
      </c>
    </row>
    <row r="1666" spans="1:11" x14ac:dyDescent="0.25">
      <c r="A1666">
        <v>2665</v>
      </c>
      <c r="B1666" t="s">
        <v>1706</v>
      </c>
      <c r="C1666" t="s">
        <v>8</v>
      </c>
      <c r="D1666" t="s">
        <v>14</v>
      </c>
      <c r="E1666" t="s">
        <v>20</v>
      </c>
      <c r="F1666" t="s">
        <v>23</v>
      </c>
      <c r="G1666">
        <v>26</v>
      </c>
      <c r="H1666" s="13">
        <v>34439</v>
      </c>
      <c r="I1666" s="13">
        <v>8535</v>
      </c>
      <c r="J1666" t="s">
        <v>25</v>
      </c>
      <c r="K1666" s="13">
        <f>HR_Data[[#This Row],[Salary]]+HR_Data[[#This Row],[Bonus]]</f>
        <v>42974</v>
      </c>
    </row>
    <row r="1667" spans="1:11" x14ac:dyDescent="0.25">
      <c r="A1667">
        <v>2666</v>
      </c>
      <c r="B1667" t="s">
        <v>1707</v>
      </c>
      <c r="C1667" t="s">
        <v>10</v>
      </c>
      <c r="D1667" t="s">
        <v>15</v>
      </c>
      <c r="E1667" t="s">
        <v>17</v>
      </c>
      <c r="F1667" t="s">
        <v>24</v>
      </c>
      <c r="G1667">
        <v>31</v>
      </c>
      <c r="H1667" s="13">
        <v>69554.53</v>
      </c>
      <c r="I1667" s="13">
        <v>23677</v>
      </c>
      <c r="J1667" t="s">
        <v>25</v>
      </c>
      <c r="K1667" s="13">
        <f>HR_Data[[#This Row],[Salary]]+HR_Data[[#This Row],[Bonus]]</f>
        <v>93231.53</v>
      </c>
    </row>
    <row r="1668" spans="1:11" x14ac:dyDescent="0.25">
      <c r="A1668">
        <v>2667</v>
      </c>
      <c r="B1668" t="s">
        <v>1708</v>
      </c>
      <c r="C1668" t="s">
        <v>12</v>
      </c>
      <c r="D1668" t="s">
        <v>15</v>
      </c>
      <c r="E1668" t="s">
        <v>17</v>
      </c>
      <c r="F1668" t="s">
        <v>21</v>
      </c>
      <c r="G1668">
        <v>27</v>
      </c>
      <c r="H1668" s="13">
        <v>108051</v>
      </c>
      <c r="I1668" s="13">
        <v>22488</v>
      </c>
      <c r="J1668" t="s">
        <v>25</v>
      </c>
      <c r="K1668" s="13">
        <f>HR_Data[[#This Row],[Salary]]+HR_Data[[#This Row],[Bonus]]</f>
        <v>130539</v>
      </c>
    </row>
    <row r="1669" spans="1:11" x14ac:dyDescent="0.25">
      <c r="A1669">
        <v>2668</v>
      </c>
      <c r="B1669" t="s">
        <v>1709</v>
      </c>
      <c r="C1669" t="s">
        <v>2042</v>
      </c>
      <c r="D1669" t="s">
        <v>14</v>
      </c>
      <c r="E1669" t="s">
        <v>16</v>
      </c>
      <c r="F1669" t="s">
        <v>23</v>
      </c>
      <c r="G1669">
        <v>34</v>
      </c>
      <c r="H1669" s="13">
        <v>46962</v>
      </c>
      <c r="I1669" s="13">
        <v>13853</v>
      </c>
      <c r="J1669" t="s">
        <v>25</v>
      </c>
      <c r="K1669" s="13">
        <f>HR_Data[[#This Row],[Salary]]+HR_Data[[#This Row],[Bonus]]</f>
        <v>60815</v>
      </c>
    </row>
    <row r="1670" spans="1:11" x14ac:dyDescent="0.25">
      <c r="A1670">
        <v>2669</v>
      </c>
      <c r="B1670" t="s">
        <v>1710</v>
      </c>
      <c r="C1670" t="s">
        <v>9</v>
      </c>
      <c r="D1670" t="s">
        <v>14</v>
      </c>
      <c r="E1670" t="s">
        <v>20</v>
      </c>
      <c r="F1670" t="s">
        <v>24</v>
      </c>
      <c r="G1670">
        <v>22</v>
      </c>
      <c r="H1670" s="13">
        <v>73934</v>
      </c>
      <c r="I1670" s="13">
        <v>5908</v>
      </c>
      <c r="J1670" t="s">
        <v>26</v>
      </c>
      <c r="K1670" s="13">
        <f>HR_Data[[#This Row],[Salary]]+HR_Data[[#This Row],[Bonus]]</f>
        <v>79842</v>
      </c>
    </row>
    <row r="1671" spans="1:11" x14ac:dyDescent="0.25">
      <c r="A1671">
        <v>2670</v>
      </c>
      <c r="B1671" t="s">
        <v>1711</v>
      </c>
      <c r="C1671" t="s">
        <v>10</v>
      </c>
      <c r="D1671" t="s">
        <v>14</v>
      </c>
      <c r="E1671" t="s">
        <v>19</v>
      </c>
      <c r="F1671" t="s">
        <v>22</v>
      </c>
      <c r="G1671">
        <v>41</v>
      </c>
      <c r="H1671" s="13">
        <v>57763</v>
      </c>
      <c r="I1671" s="13">
        <v>27923</v>
      </c>
      <c r="J1671" t="s">
        <v>25</v>
      </c>
      <c r="K1671" s="13">
        <f>HR_Data[[#This Row],[Salary]]+HR_Data[[#This Row],[Bonus]]</f>
        <v>85686</v>
      </c>
    </row>
    <row r="1672" spans="1:11" x14ac:dyDescent="0.25">
      <c r="A1672">
        <v>2671</v>
      </c>
      <c r="B1672" t="s">
        <v>1712</v>
      </c>
      <c r="C1672" t="s">
        <v>9</v>
      </c>
      <c r="D1672" t="s">
        <v>15</v>
      </c>
      <c r="E1672" t="s">
        <v>16</v>
      </c>
      <c r="F1672" t="s">
        <v>21</v>
      </c>
      <c r="G1672">
        <v>29</v>
      </c>
      <c r="H1672" s="13">
        <v>84094</v>
      </c>
      <c r="I1672" s="13">
        <v>9617</v>
      </c>
      <c r="J1672" t="s">
        <v>25</v>
      </c>
      <c r="K1672" s="13">
        <f>HR_Data[[#This Row],[Salary]]+HR_Data[[#This Row],[Bonus]]</f>
        <v>93711</v>
      </c>
    </row>
    <row r="1673" spans="1:11" x14ac:dyDescent="0.25">
      <c r="A1673">
        <v>2672</v>
      </c>
      <c r="B1673" t="s">
        <v>1713</v>
      </c>
      <c r="C1673" t="s">
        <v>10</v>
      </c>
      <c r="D1673" t="s">
        <v>15</v>
      </c>
      <c r="E1673" t="s">
        <v>19</v>
      </c>
      <c r="F1673" t="s">
        <v>21</v>
      </c>
      <c r="G1673">
        <v>31</v>
      </c>
      <c r="H1673" s="13">
        <v>39464</v>
      </c>
      <c r="I1673" s="13">
        <v>15048</v>
      </c>
      <c r="J1673" t="s">
        <v>26</v>
      </c>
      <c r="K1673" s="13">
        <f>HR_Data[[#This Row],[Salary]]+HR_Data[[#This Row],[Bonus]]</f>
        <v>54512</v>
      </c>
    </row>
    <row r="1674" spans="1:11" x14ac:dyDescent="0.25">
      <c r="A1674">
        <v>2673</v>
      </c>
      <c r="B1674" t="s">
        <v>1714</v>
      </c>
      <c r="C1674" t="s">
        <v>10</v>
      </c>
      <c r="D1674" t="s">
        <v>14</v>
      </c>
      <c r="E1674" t="s">
        <v>18</v>
      </c>
      <c r="F1674" t="s">
        <v>24</v>
      </c>
      <c r="G1674">
        <v>30</v>
      </c>
      <c r="H1674" s="13">
        <v>62036</v>
      </c>
      <c r="I1674" s="13">
        <v>28453</v>
      </c>
      <c r="J1674" t="s">
        <v>25</v>
      </c>
      <c r="K1674" s="13">
        <f>HR_Data[[#This Row],[Salary]]+HR_Data[[#This Row],[Bonus]]</f>
        <v>90489</v>
      </c>
    </row>
    <row r="1675" spans="1:11" x14ac:dyDescent="0.25">
      <c r="A1675">
        <v>2674</v>
      </c>
      <c r="B1675" t="s">
        <v>1715</v>
      </c>
      <c r="C1675" t="s">
        <v>11</v>
      </c>
      <c r="D1675" t="s">
        <v>14</v>
      </c>
      <c r="E1675" t="s">
        <v>19</v>
      </c>
      <c r="F1675" t="s">
        <v>24</v>
      </c>
      <c r="G1675">
        <v>24</v>
      </c>
      <c r="H1675" s="13">
        <v>115949</v>
      </c>
      <c r="I1675" s="13">
        <v>7311</v>
      </c>
      <c r="J1675" t="s">
        <v>25</v>
      </c>
      <c r="K1675" s="13">
        <f>HR_Data[[#This Row],[Salary]]+HR_Data[[#This Row],[Bonus]]</f>
        <v>123260</v>
      </c>
    </row>
    <row r="1676" spans="1:11" x14ac:dyDescent="0.25">
      <c r="A1676">
        <v>2675</v>
      </c>
      <c r="B1676" t="s">
        <v>1716</v>
      </c>
      <c r="C1676" t="s">
        <v>12</v>
      </c>
      <c r="D1676" t="s">
        <v>14</v>
      </c>
      <c r="E1676" t="s">
        <v>17</v>
      </c>
      <c r="F1676" t="s">
        <v>21</v>
      </c>
      <c r="G1676">
        <v>32</v>
      </c>
      <c r="H1676" s="13">
        <v>53270</v>
      </c>
      <c r="I1676" s="13">
        <v>21020</v>
      </c>
      <c r="J1676" t="s">
        <v>25</v>
      </c>
      <c r="K1676" s="13">
        <f>HR_Data[[#This Row],[Salary]]+HR_Data[[#This Row],[Bonus]]</f>
        <v>74290</v>
      </c>
    </row>
    <row r="1677" spans="1:11" x14ac:dyDescent="0.25">
      <c r="A1677">
        <v>2676</v>
      </c>
      <c r="B1677" t="s">
        <v>1717</v>
      </c>
      <c r="C1677" t="s">
        <v>9</v>
      </c>
      <c r="D1677" t="s">
        <v>15</v>
      </c>
      <c r="E1677" t="s">
        <v>19</v>
      </c>
      <c r="F1677" t="s">
        <v>22</v>
      </c>
      <c r="G1677">
        <v>33</v>
      </c>
      <c r="H1677" s="13">
        <v>62299</v>
      </c>
      <c r="I1677" s="13">
        <v>22173</v>
      </c>
      <c r="J1677" t="s">
        <v>25</v>
      </c>
      <c r="K1677" s="13">
        <f>HR_Data[[#This Row],[Salary]]+HR_Data[[#This Row],[Bonus]]</f>
        <v>84472</v>
      </c>
    </row>
    <row r="1678" spans="1:11" x14ac:dyDescent="0.25">
      <c r="A1678">
        <v>2677</v>
      </c>
      <c r="B1678" t="s">
        <v>1718</v>
      </c>
      <c r="C1678" t="s">
        <v>9</v>
      </c>
      <c r="D1678" t="s">
        <v>15</v>
      </c>
      <c r="E1678" t="s">
        <v>16</v>
      </c>
      <c r="F1678" t="s">
        <v>22</v>
      </c>
      <c r="G1678">
        <v>31</v>
      </c>
      <c r="H1678" s="13">
        <v>105805</v>
      </c>
      <c r="I1678" s="13">
        <v>18585</v>
      </c>
      <c r="J1678" t="s">
        <v>26</v>
      </c>
      <c r="K1678" s="13">
        <f>HR_Data[[#This Row],[Salary]]+HR_Data[[#This Row],[Bonus]]</f>
        <v>124390</v>
      </c>
    </row>
    <row r="1679" spans="1:11" x14ac:dyDescent="0.25">
      <c r="A1679">
        <v>2678</v>
      </c>
      <c r="B1679" t="s">
        <v>1719</v>
      </c>
      <c r="C1679" t="s">
        <v>11</v>
      </c>
      <c r="D1679" t="s">
        <v>15</v>
      </c>
      <c r="E1679" t="s">
        <v>16</v>
      </c>
      <c r="F1679" t="s">
        <v>23</v>
      </c>
      <c r="G1679">
        <v>46</v>
      </c>
      <c r="H1679" s="13">
        <v>51541</v>
      </c>
      <c r="I1679" s="13">
        <v>19017</v>
      </c>
      <c r="J1679" t="s">
        <v>25</v>
      </c>
      <c r="K1679" s="13">
        <f>HR_Data[[#This Row],[Salary]]+HR_Data[[#This Row],[Bonus]]</f>
        <v>70558</v>
      </c>
    </row>
    <row r="1680" spans="1:11" x14ac:dyDescent="0.25">
      <c r="A1680">
        <v>2679</v>
      </c>
      <c r="B1680" t="s">
        <v>1720</v>
      </c>
      <c r="C1680" t="s">
        <v>2042</v>
      </c>
      <c r="D1680" t="s">
        <v>14</v>
      </c>
      <c r="E1680" t="s">
        <v>19</v>
      </c>
      <c r="F1680" t="s">
        <v>24</v>
      </c>
      <c r="G1680">
        <v>46</v>
      </c>
      <c r="H1680" s="13">
        <v>93545</v>
      </c>
      <c r="I1680" s="13">
        <v>21555</v>
      </c>
      <c r="J1680" t="s">
        <v>25</v>
      </c>
      <c r="K1680" s="13">
        <f>HR_Data[[#This Row],[Salary]]+HR_Data[[#This Row],[Bonus]]</f>
        <v>115100</v>
      </c>
    </row>
    <row r="1681" spans="1:11" x14ac:dyDescent="0.25">
      <c r="A1681">
        <v>2680</v>
      </c>
      <c r="B1681" t="s">
        <v>1721</v>
      </c>
      <c r="C1681" t="s">
        <v>2042</v>
      </c>
      <c r="D1681" t="s">
        <v>14</v>
      </c>
      <c r="E1681" t="s">
        <v>16</v>
      </c>
      <c r="F1681" t="s">
        <v>22</v>
      </c>
      <c r="G1681">
        <v>32</v>
      </c>
      <c r="H1681" s="13">
        <v>102543</v>
      </c>
      <c r="I1681" s="13">
        <v>17552</v>
      </c>
      <c r="J1681" t="s">
        <v>25</v>
      </c>
      <c r="K1681" s="13">
        <f>HR_Data[[#This Row],[Salary]]+HR_Data[[#This Row],[Bonus]]</f>
        <v>120095</v>
      </c>
    </row>
    <row r="1682" spans="1:11" x14ac:dyDescent="0.25">
      <c r="A1682">
        <v>2681</v>
      </c>
      <c r="B1682" t="s">
        <v>1722</v>
      </c>
      <c r="C1682" t="s">
        <v>12</v>
      </c>
      <c r="D1682" t="s">
        <v>15</v>
      </c>
      <c r="E1682" t="s">
        <v>16</v>
      </c>
      <c r="F1682" t="s">
        <v>23</v>
      </c>
      <c r="G1682">
        <v>57</v>
      </c>
      <c r="H1682" s="13">
        <v>111998</v>
      </c>
      <c r="I1682" s="13">
        <v>29373</v>
      </c>
      <c r="J1682" t="s">
        <v>25</v>
      </c>
      <c r="K1682" s="13">
        <f>HR_Data[[#This Row],[Salary]]+HR_Data[[#This Row],[Bonus]]</f>
        <v>141371</v>
      </c>
    </row>
    <row r="1683" spans="1:11" x14ac:dyDescent="0.25">
      <c r="A1683">
        <v>2682</v>
      </c>
      <c r="B1683" t="s">
        <v>1723</v>
      </c>
      <c r="C1683" t="s">
        <v>12</v>
      </c>
      <c r="D1683" t="s">
        <v>14</v>
      </c>
      <c r="E1683" t="s">
        <v>19</v>
      </c>
      <c r="F1683" t="s">
        <v>22</v>
      </c>
      <c r="G1683">
        <v>47</v>
      </c>
      <c r="H1683" s="13">
        <v>97078</v>
      </c>
      <c r="I1683" s="13">
        <v>18337</v>
      </c>
      <c r="J1683" t="s">
        <v>26</v>
      </c>
      <c r="K1683" s="13">
        <f>HR_Data[[#This Row],[Salary]]+HR_Data[[#This Row],[Bonus]]</f>
        <v>115415</v>
      </c>
    </row>
    <row r="1684" spans="1:11" x14ac:dyDescent="0.25">
      <c r="A1684">
        <v>2683</v>
      </c>
      <c r="B1684" t="s">
        <v>1724</v>
      </c>
      <c r="C1684" t="s">
        <v>8</v>
      </c>
      <c r="D1684" t="s">
        <v>15</v>
      </c>
      <c r="E1684" t="s">
        <v>20</v>
      </c>
      <c r="F1684" t="s">
        <v>24</v>
      </c>
      <c r="G1684">
        <v>35</v>
      </c>
      <c r="H1684" s="13">
        <v>102970</v>
      </c>
      <c r="I1684" s="13">
        <v>6885</v>
      </c>
      <c r="J1684" t="s">
        <v>27</v>
      </c>
      <c r="K1684" s="13">
        <f>HR_Data[[#This Row],[Salary]]+HR_Data[[#This Row],[Bonus]]</f>
        <v>109855</v>
      </c>
    </row>
    <row r="1685" spans="1:11" x14ac:dyDescent="0.25">
      <c r="A1685">
        <v>2684</v>
      </c>
      <c r="B1685" t="s">
        <v>1725</v>
      </c>
      <c r="C1685" t="s">
        <v>11</v>
      </c>
      <c r="D1685" t="s">
        <v>14</v>
      </c>
      <c r="E1685" t="s">
        <v>20</v>
      </c>
      <c r="F1685" t="s">
        <v>23</v>
      </c>
      <c r="G1685">
        <v>22</v>
      </c>
      <c r="H1685" s="13">
        <v>49765</v>
      </c>
      <c r="I1685" s="13">
        <v>6049</v>
      </c>
      <c r="J1685" t="s">
        <v>25</v>
      </c>
      <c r="K1685" s="13">
        <f>HR_Data[[#This Row],[Salary]]+HR_Data[[#This Row],[Bonus]]</f>
        <v>55814</v>
      </c>
    </row>
    <row r="1686" spans="1:11" x14ac:dyDescent="0.25">
      <c r="A1686">
        <v>2685</v>
      </c>
      <c r="B1686" t="s">
        <v>1726</v>
      </c>
      <c r="C1686" t="s">
        <v>2042</v>
      </c>
      <c r="D1686" t="s">
        <v>14</v>
      </c>
      <c r="E1686" t="s">
        <v>18</v>
      </c>
      <c r="F1686" t="s">
        <v>23</v>
      </c>
      <c r="G1686">
        <v>25</v>
      </c>
      <c r="H1686" s="13">
        <v>43769</v>
      </c>
      <c r="I1686" s="13">
        <v>25513</v>
      </c>
      <c r="J1686" t="s">
        <v>25</v>
      </c>
      <c r="K1686" s="13">
        <f>HR_Data[[#This Row],[Salary]]+HR_Data[[#This Row],[Bonus]]</f>
        <v>69282</v>
      </c>
    </row>
    <row r="1687" spans="1:11" x14ac:dyDescent="0.25">
      <c r="A1687">
        <v>2686</v>
      </c>
      <c r="B1687" t="s">
        <v>1727</v>
      </c>
      <c r="C1687" t="s">
        <v>10</v>
      </c>
      <c r="D1687" t="s">
        <v>14</v>
      </c>
      <c r="E1687" t="s">
        <v>16</v>
      </c>
      <c r="F1687" t="s">
        <v>23</v>
      </c>
      <c r="G1687">
        <v>51</v>
      </c>
      <c r="H1687" s="13">
        <v>108001</v>
      </c>
      <c r="I1687" s="13">
        <v>15503</v>
      </c>
      <c r="J1687" t="s">
        <v>27</v>
      </c>
      <c r="K1687" s="13">
        <f>HR_Data[[#This Row],[Salary]]+HR_Data[[#This Row],[Bonus]]</f>
        <v>123504</v>
      </c>
    </row>
    <row r="1688" spans="1:11" x14ac:dyDescent="0.25">
      <c r="A1688">
        <v>2687</v>
      </c>
      <c r="B1688" t="s">
        <v>1728</v>
      </c>
      <c r="C1688" t="s">
        <v>9</v>
      </c>
      <c r="D1688" t="s">
        <v>14</v>
      </c>
      <c r="E1688" t="s">
        <v>19</v>
      </c>
      <c r="F1688" t="s">
        <v>22</v>
      </c>
      <c r="G1688">
        <v>33</v>
      </c>
      <c r="H1688" s="13">
        <v>107404</v>
      </c>
      <c r="I1688" s="13">
        <v>6161</v>
      </c>
      <c r="J1688" t="s">
        <v>25</v>
      </c>
      <c r="K1688" s="13">
        <f>HR_Data[[#This Row],[Salary]]+HR_Data[[#This Row],[Bonus]]</f>
        <v>113565</v>
      </c>
    </row>
    <row r="1689" spans="1:11" x14ac:dyDescent="0.25">
      <c r="A1689">
        <v>2688</v>
      </c>
      <c r="B1689" t="s">
        <v>1729</v>
      </c>
      <c r="C1689" t="s">
        <v>12</v>
      </c>
      <c r="D1689" t="s">
        <v>15</v>
      </c>
      <c r="E1689" t="s">
        <v>16</v>
      </c>
      <c r="F1689" t="s">
        <v>24</v>
      </c>
      <c r="G1689">
        <v>56</v>
      </c>
      <c r="H1689" s="13">
        <v>40156</v>
      </c>
      <c r="I1689" s="13">
        <v>5815</v>
      </c>
      <c r="J1689" t="s">
        <v>25</v>
      </c>
      <c r="K1689" s="13">
        <f>HR_Data[[#This Row],[Salary]]+HR_Data[[#This Row],[Bonus]]</f>
        <v>45971</v>
      </c>
    </row>
    <row r="1690" spans="1:11" x14ac:dyDescent="0.25">
      <c r="A1690">
        <v>2689</v>
      </c>
      <c r="B1690" t="s">
        <v>1730</v>
      </c>
      <c r="C1690" t="s">
        <v>9</v>
      </c>
      <c r="D1690" t="s">
        <v>14</v>
      </c>
      <c r="E1690" t="s">
        <v>17</v>
      </c>
      <c r="F1690" t="s">
        <v>23</v>
      </c>
      <c r="G1690">
        <v>34</v>
      </c>
      <c r="H1690" s="13">
        <v>105836</v>
      </c>
      <c r="I1690" s="13">
        <v>8766</v>
      </c>
      <c r="J1690" t="s">
        <v>25</v>
      </c>
      <c r="K1690" s="13">
        <f>HR_Data[[#This Row],[Salary]]+HR_Data[[#This Row],[Bonus]]</f>
        <v>114602</v>
      </c>
    </row>
    <row r="1691" spans="1:11" x14ac:dyDescent="0.25">
      <c r="A1691">
        <v>2690</v>
      </c>
      <c r="B1691" t="s">
        <v>1731</v>
      </c>
      <c r="C1691" t="s">
        <v>9</v>
      </c>
      <c r="D1691" t="s">
        <v>15</v>
      </c>
      <c r="E1691" t="s">
        <v>16</v>
      </c>
      <c r="F1691" t="s">
        <v>21</v>
      </c>
      <c r="G1691">
        <v>52</v>
      </c>
      <c r="H1691" s="13">
        <v>70481</v>
      </c>
      <c r="I1691" s="13">
        <v>26045</v>
      </c>
      <c r="J1691" t="s">
        <v>25</v>
      </c>
      <c r="K1691" s="13">
        <f>HR_Data[[#This Row],[Salary]]+HR_Data[[#This Row],[Bonus]]</f>
        <v>96526</v>
      </c>
    </row>
    <row r="1692" spans="1:11" x14ac:dyDescent="0.25">
      <c r="A1692">
        <v>2691</v>
      </c>
      <c r="B1692" t="s">
        <v>1732</v>
      </c>
      <c r="C1692" t="s">
        <v>8</v>
      </c>
      <c r="D1692" t="s">
        <v>15</v>
      </c>
      <c r="E1692" t="s">
        <v>16</v>
      </c>
      <c r="F1692" t="s">
        <v>24</v>
      </c>
      <c r="G1692">
        <v>59</v>
      </c>
      <c r="H1692" s="13">
        <v>33435</v>
      </c>
      <c r="I1692" s="13">
        <v>8239</v>
      </c>
      <c r="J1692" t="s">
        <v>25</v>
      </c>
      <c r="K1692" s="13">
        <f>HR_Data[[#This Row],[Salary]]+HR_Data[[#This Row],[Bonus]]</f>
        <v>41674</v>
      </c>
    </row>
    <row r="1693" spans="1:11" x14ac:dyDescent="0.25">
      <c r="A1693">
        <v>2692</v>
      </c>
      <c r="B1693" t="s">
        <v>1733</v>
      </c>
      <c r="C1693" t="s">
        <v>2042</v>
      </c>
      <c r="D1693" t="s">
        <v>15</v>
      </c>
      <c r="E1693" t="s">
        <v>20</v>
      </c>
      <c r="F1693" t="s">
        <v>21</v>
      </c>
      <c r="G1693">
        <v>44</v>
      </c>
      <c r="H1693" s="13">
        <v>89650</v>
      </c>
      <c r="I1693" s="13">
        <v>18942</v>
      </c>
      <c r="J1693" t="s">
        <v>25</v>
      </c>
      <c r="K1693" s="13">
        <f>HR_Data[[#This Row],[Salary]]+HR_Data[[#This Row],[Bonus]]</f>
        <v>108592</v>
      </c>
    </row>
    <row r="1694" spans="1:11" x14ac:dyDescent="0.25">
      <c r="A1694">
        <v>2693</v>
      </c>
      <c r="B1694" t="s">
        <v>1734</v>
      </c>
      <c r="C1694" t="s">
        <v>12</v>
      </c>
      <c r="D1694" t="s">
        <v>14</v>
      </c>
      <c r="E1694" t="s">
        <v>19</v>
      </c>
      <c r="F1694" t="s">
        <v>21</v>
      </c>
      <c r="G1694">
        <v>25</v>
      </c>
      <c r="H1694" s="13">
        <v>66336</v>
      </c>
      <c r="I1694" s="13">
        <v>13272</v>
      </c>
      <c r="J1694" t="s">
        <v>25</v>
      </c>
      <c r="K1694" s="13">
        <f>HR_Data[[#This Row],[Salary]]+HR_Data[[#This Row],[Bonus]]</f>
        <v>79608</v>
      </c>
    </row>
    <row r="1695" spans="1:11" x14ac:dyDescent="0.25">
      <c r="A1695">
        <v>2694</v>
      </c>
      <c r="B1695" t="s">
        <v>1735</v>
      </c>
      <c r="C1695" t="s">
        <v>9</v>
      </c>
      <c r="D1695" t="s">
        <v>15</v>
      </c>
      <c r="E1695" t="s">
        <v>16</v>
      </c>
      <c r="F1695" t="s">
        <v>23</v>
      </c>
      <c r="G1695">
        <v>37</v>
      </c>
      <c r="H1695" s="13">
        <v>56135</v>
      </c>
      <c r="I1695" s="13">
        <v>24188</v>
      </c>
      <c r="J1695" t="s">
        <v>25</v>
      </c>
      <c r="K1695" s="13">
        <f>HR_Data[[#This Row],[Salary]]+HR_Data[[#This Row],[Bonus]]</f>
        <v>80323</v>
      </c>
    </row>
    <row r="1696" spans="1:11" x14ac:dyDescent="0.25">
      <c r="A1696">
        <v>2695</v>
      </c>
      <c r="B1696" t="s">
        <v>1736</v>
      </c>
      <c r="C1696" t="s">
        <v>12</v>
      </c>
      <c r="D1696" t="s">
        <v>15</v>
      </c>
      <c r="E1696" t="s">
        <v>20</v>
      </c>
      <c r="F1696" t="s">
        <v>23</v>
      </c>
      <c r="G1696">
        <v>28</v>
      </c>
      <c r="H1696" s="13">
        <v>93631</v>
      </c>
      <c r="I1696" s="13">
        <v>29415</v>
      </c>
      <c r="J1696" t="s">
        <v>25</v>
      </c>
      <c r="K1696" s="13">
        <f>HR_Data[[#This Row],[Salary]]+HR_Data[[#This Row],[Bonus]]</f>
        <v>123046</v>
      </c>
    </row>
    <row r="1697" spans="1:11" x14ac:dyDescent="0.25">
      <c r="A1697">
        <v>2696</v>
      </c>
      <c r="B1697" t="s">
        <v>1737</v>
      </c>
      <c r="C1697" t="s">
        <v>10</v>
      </c>
      <c r="D1697" t="s">
        <v>15</v>
      </c>
      <c r="E1697" t="s">
        <v>18</v>
      </c>
      <c r="F1697" t="s">
        <v>22</v>
      </c>
      <c r="G1697">
        <v>43</v>
      </c>
      <c r="H1697" s="13">
        <v>57909</v>
      </c>
      <c r="I1697" s="13">
        <v>5869</v>
      </c>
      <c r="J1697" t="s">
        <v>25</v>
      </c>
      <c r="K1697" s="13">
        <f>HR_Data[[#This Row],[Salary]]+HR_Data[[#This Row],[Bonus]]</f>
        <v>63778</v>
      </c>
    </row>
    <row r="1698" spans="1:11" x14ac:dyDescent="0.25">
      <c r="A1698">
        <v>2697</v>
      </c>
      <c r="B1698" t="s">
        <v>1738</v>
      </c>
      <c r="C1698" t="s">
        <v>8</v>
      </c>
      <c r="D1698" t="s">
        <v>14</v>
      </c>
      <c r="E1698" t="s">
        <v>20</v>
      </c>
      <c r="F1698" t="s">
        <v>22</v>
      </c>
      <c r="G1698">
        <v>50</v>
      </c>
      <c r="H1698" s="13">
        <v>89487</v>
      </c>
      <c r="I1698" s="13">
        <v>10526</v>
      </c>
      <c r="J1698" t="s">
        <v>25</v>
      </c>
      <c r="K1698" s="13">
        <f>HR_Data[[#This Row],[Salary]]+HR_Data[[#This Row],[Bonus]]</f>
        <v>100013</v>
      </c>
    </row>
    <row r="1699" spans="1:11" x14ac:dyDescent="0.25">
      <c r="A1699">
        <v>2698</v>
      </c>
      <c r="B1699" t="s">
        <v>1739</v>
      </c>
      <c r="C1699" t="s">
        <v>10</v>
      </c>
      <c r="D1699" t="s">
        <v>14</v>
      </c>
      <c r="E1699" t="s">
        <v>20</v>
      </c>
      <c r="F1699" t="s">
        <v>22</v>
      </c>
      <c r="G1699">
        <v>32</v>
      </c>
      <c r="H1699" s="13">
        <v>41468</v>
      </c>
      <c r="I1699" s="13">
        <v>12741</v>
      </c>
      <c r="J1699" t="s">
        <v>25</v>
      </c>
      <c r="K1699" s="13">
        <f>HR_Data[[#This Row],[Salary]]+HR_Data[[#This Row],[Bonus]]</f>
        <v>54209</v>
      </c>
    </row>
    <row r="1700" spans="1:11" x14ac:dyDescent="0.25">
      <c r="A1700">
        <v>2699</v>
      </c>
      <c r="B1700" t="s">
        <v>1740</v>
      </c>
      <c r="C1700" t="s">
        <v>12</v>
      </c>
      <c r="D1700" t="s">
        <v>15</v>
      </c>
      <c r="E1700" t="s">
        <v>20</v>
      </c>
      <c r="F1700" t="s">
        <v>24</v>
      </c>
      <c r="G1700">
        <v>54</v>
      </c>
      <c r="H1700" s="13">
        <v>112609</v>
      </c>
      <c r="I1700" s="13">
        <v>9694</v>
      </c>
      <c r="J1700" t="s">
        <v>26</v>
      </c>
      <c r="K1700" s="13">
        <f>HR_Data[[#This Row],[Salary]]+HR_Data[[#This Row],[Bonus]]</f>
        <v>122303</v>
      </c>
    </row>
    <row r="1701" spans="1:11" x14ac:dyDescent="0.25">
      <c r="A1701">
        <v>2700</v>
      </c>
      <c r="B1701" t="s">
        <v>1741</v>
      </c>
      <c r="C1701" t="s">
        <v>12</v>
      </c>
      <c r="D1701" t="s">
        <v>14</v>
      </c>
      <c r="E1701" t="s">
        <v>16</v>
      </c>
      <c r="F1701" t="s">
        <v>22</v>
      </c>
      <c r="G1701">
        <v>50</v>
      </c>
      <c r="H1701" s="13">
        <v>67655</v>
      </c>
      <c r="I1701" s="13">
        <v>6934</v>
      </c>
      <c r="J1701" t="s">
        <v>26</v>
      </c>
      <c r="K1701" s="13">
        <f>HR_Data[[#This Row],[Salary]]+HR_Data[[#This Row],[Bonus]]</f>
        <v>74589</v>
      </c>
    </row>
    <row r="1702" spans="1:11" x14ac:dyDescent="0.25">
      <c r="A1702">
        <v>2701</v>
      </c>
      <c r="B1702" t="s">
        <v>1742</v>
      </c>
      <c r="C1702" t="s">
        <v>2042</v>
      </c>
      <c r="D1702" t="s">
        <v>15</v>
      </c>
      <c r="E1702" t="s">
        <v>16</v>
      </c>
      <c r="F1702" t="s">
        <v>21</v>
      </c>
      <c r="G1702">
        <v>33</v>
      </c>
      <c r="H1702" s="13">
        <v>54341</v>
      </c>
      <c r="I1702" s="13">
        <v>26556</v>
      </c>
      <c r="J1702" t="s">
        <v>25</v>
      </c>
      <c r="K1702" s="13">
        <f>HR_Data[[#This Row],[Salary]]+HR_Data[[#This Row],[Bonus]]</f>
        <v>80897</v>
      </c>
    </row>
    <row r="1703" spans="1:11" x14ac:dyDescent="0.25">
      <c r="A1703">
        <v>2702</v>
      </c>
      <c r="B1703" t="s">
        <v>1743</v>
      </c>
      <c r="C1703" t="s">
        <v>9</v>
      </c>
      <c r="D1703" t="s">
        <v>15</v>
      </c>
      <c r="E1703" t="s">
        <v>18</v>
      </c>
      <c r="F1703" t="s">
        <v>22</v>
      </c>
      <c r="G1703">
        <v>28</v>
      </c>
      <c r="H1703" s="13">
        <v>84182</v>
      </c>
      <c r="I1703" s="13">
        <v>22087</v>
      </c>
      <c r="J1703" t="s">
        <v>25</v>
      </c>
      <c r="K1703" s="13">
        <f>HR_Data[[#This Row],[Salary]]+HR_Data[[#This Row],[Bonus]]</f>
        <v>106269</v>
      </c>
    </row>
    <row r="1704" spans="1:11" x14ac:dyDescent="0.25">
      <c r="A1704">
        <v>2703</v>
      </c>
      <c r="B1704" t="s">
        <v>1744</v>
      </c>
      <c r="C1704" t="s">
        <v>9</v>
      </c>
      <c r="D1704" t="s">
        <v>14</v>
      </c>
      <c r="E1704" t="s">
        <v>17</v>
      </c>
      <c r="F1704" t="s">
        <v>23</v>
      </c>
      <c r="G1704">
        <v>47</v>
      </c>
      <c r="H1704" s="13">
        <v>71786</v>
      </c>
      <c r="I1704" s="13">
        <v>21318</v>
      </c>
      <c r="J1704" t="s">
        <v>26</v>
      </c>
      <c r="K1704" s="13">
        <f>HR_Data[[#This Row],[Salary]]+HR_Data[[#This Row],[Bonus]]</f>
        <v>93104</v>
      </c>
    </row>
    <row r="1705" spans="1:11" x14ac:dyDescent="0.25">
      <c r="A1705">
        <v>2704</v>
      </c>
      <c r="B1705" t="s">
        <v>1745</v>
      </c>
      <c r="C1705" t="s">
        <v>10</v>
      </c>
      <c r="D1705" t="s">
        <v>15</v>
      </c>
      <c r="E1705" t="s">
        <v>17</v>
      </c>
      <c r="F1705" t="s">
        <v>22</v>
      </c>
      <c r="G1705">
        <v>30</v>
      </c>
      <c r="H1705" s="13">
        <v>88304</v>
      </c>
      <c r="I1705" s="13">
        <v>23907</v>
      </c>
      <c r="J1705" t="s">
        <v>25</v>
      </c>
      <c r="K1705" s="13">
        <f>HR_Data[[#This Row],[Salary]]+HR_Data[[#This Row],[Bonus]]</f>
        <v>112211</v>
      </c>
    </row>
    <row r="1706" spans="1:11" x14ac:dyDescent="0.25">
      <c r="A1706">
        <v>2705</v>
      </c>
      <c r="B1706" t="s">
        <v>1746</v>
      </c>
      <c r="C1706" t="s">
        <v>8</v>
      </c>
      <c r="D1706" t="s">
        <v>14</v>
      </c>
      <c r="E1706" t="s">
        <v>17</v>
      </c>
      <c r="F1706" t="s">
        <v>24</v>
      </c>
      <c r="G1706">
        <v>55</v>
      </c>
      <c r="H1706" s="13">
        <v>66514</v>
      </c>
      <c r="I1706" s="13">
        <v>24023</v>
      </c>
      <c r="J1706" t="s">
        <v>25</v>
      </c>
      <c r="K1706" s="13">
        <f>HR_Data[[#This Row],[Salary]]+HR_Data[[#This Row],[Bonus]]</f>
        <v>90537</v>
      </c>
    </row>
    <row r="1707" spans="1:11" x14ac:dyDescent="0.25">
      <c r="A1707">
        <v>2706</v>
      </c>
      <c r="B1707" t="s">
        <v>1747</v>
      </c>
      <c r="C1707" t="s">
        <v>11</v>
      </c>
      <c r="D1707" t="s">
        <v>14</v>
      </c>
      <c r="E1707" t="s">
        <v>18</v>
      </c>
      <c r="F1707" t="s">
        <v>24</v>
      </c>
      <c r="G1707">
        <v>34</v>
      </c>
      <c r="H1707" s="13">
        <v>53979</v>
      </c>
      <c r="I1707" s="13">
        <v>11159</v>
      </c>
      <c r="J1707" t="s">
        <v>25</v>
      </c>
      <c r="K1707" s="13">
        <f>HR_Data[[#This Row],[Salary]]+HR_Data[[#This Row],[Bonus]]</f>
        <v>65138</v>
      </c>
    </row>
    <row r="1708" spans="1:11" x14ac:dyDescent="0.25">
      <c r="A1708">
        <v>2707</v>
      </c>
      <c r="B1708" t="s">
        <v>1748</v>
      </c>
      <c r="C1708" t="s">
        <v>9</v>
      </c>
      <c r="D1708" t="s">
        <v>15</v>
      </c>
      <c r="E1708" t="s">
        <v>17</v>
      </c>
      <c r="F1708" t="s">
        <v>21</v>
      </c>
      <c r="G1708">
        <v>57</v>
      </c>
      <c r="H1708" s="13">
        <v>110887</v>
      </c>
      <c r="I1708" s="13">
        <v>20719</v>
      </c>
      <c r="J1708" t="s">
        <v>25</v>
      </c>
      <c r="K1708" s="13">
        <f>HR_Data[[#This Row],[Salary]]+HR_Data[[#This Row],[Bonus]]</f>
        <v>131606</v>
      </c>
    </row>
    <row r="1709" spans="1:11" x14ac:dyDescent="0.25">
      <c r="A1709">
        <v>2708</v>
      </c>
      <c r="B1709" t="s">
        <v>1749</v>
      </c>
      <c r="C1709" t="s">
        <v>2042</v>
      </c>
      <c r="D1709" t="s">
        <v>14</v>
      </c>
      <c r="E1709" t="s">
        <v>17</v>
      </c>
      <c r="F1709" t="s">
        <v>24</v>
      </c>
      <c r="G1709">
        <v>46</v>
      </c>
      <c r="H1709" s="13">
        <v>100981</v>
      </c>
      <c r="I1709" s="13">
        <v>25293</v>
      </c>
      <c r="J1709" t="s">
        <v>25</v>
      </c>
      <c r="K1709" s="13">
        <f>HR_Data[[#This Row],[Salary]]+HR_Data[[#This Row],[Bonus]]</f>
        <v>126274</v>
      </c>
    </row>
    <row r="1710" spans="1:11" x14ac:dyDescent="0.25">
      <c r="A1710">
        <v>2709</v>
      </c>
      <c r="B1710" t="s">
        <v>1750</v>
      </c>
      <c r="C1710" t="s">
        <v>10</v>
      </c>
      <c r="D1710" t="s">
        <v>14</v>
      </c>
      <c r="E1710" t="s">
        <v>20</v>
      </c>
      <c r="F1710" t="s">
        <v>22</v>
      </c>
      <c r="G1710">
        <v>45</v>
      </c>
      <c r="H1710" s="13">
        <v>75107</v>
      </c>
      <c r="I1710" s="13">
        <v>17993</v>
      </c>
      <c r="J1710" t="s">
        <v>25</v>
      </c>
      <c r="K1710" s="13">
        <f>HR_Data[[#This Row],[Salary]]+HR_Data[[#This Row],[Bonus]]</f>
        <v>93100</v>
      </c>
    </row>
    <row r="1711" spans="1:11" x14ac:dyDescent="0.25">
      <c r="A1711">
        <v>2710</v>
      </c>
      <c r="B1711" t="s">
        <v>1751</v>
      </c>
      <c r="C1711" t="s">
        <v>10</v>
      </c>
      <c r="D1711" t="s">
        <v>15</v>
      </c>
      <c r="E1711" t="s">
        <v>16</v>
      </c>
      <c r="F1711" t="s">
        <v>23</v>
      </c>
      <c r="G1711">
        <v>38</v>
      </c>
      <c r="H1711" s="13">
        <v>21160</v>
      </c>
      <c r="I1711" s="13">
        <v>18813</v>
      </c>
      <c r="J1711" t="s">
        <v>25</v>
      </c>
      <c r="K1711" s="13">
        <f>HR_Data[[#This Row],[Salary]]+HR_Data[[#This Row],[Bonus]]</f>
        <v>39973</v>
      </c>
    </row>
    <row r="1712" spans="1:11" x14ac:dyDescent="0.25">
      <c r="A1712">
        <v>2711</v>
      </c>
      <c r="B1712" t="s">
        <v>1752</v>
      </c>
      <c r="C1712" t="s">
        <v>11</v>
      </c>
      <c r="D1712" t="s">
        <v>15</v>
      </c>
      <c r="E1712" t="s">
        <v>16</v>
      </c>
      <c r="F1712" t="s">
        <v>24</v>
      </c>
      <c r="G1712">
        <v>23</v>
      </c>
      <c r="H1712" s="13">
        <v>107897</v>
      </c>
      <c r="I1712" s="13">
        <v>6164</v>
      </c>
      <c r="J1712" t="s">
        <v>25</v>
      </c>
      <c r="K1712" s="13">
        <f>HR_Data[[#This Row],[Salary]]+HR_Data[[#This Row],[Bonus]]</f>
        <v>114061</v>
      </c>
    </row>
    <row r="1713" spans="1:11" x14ac:dyDescent="0.25">
      <c r="A1713">
        <v>2712</v>
      </c>
      <c r="B1713" t="s">
        <v>1753</v>
      </c>
      <c r="C1713" t="s">
        <v>2042</v>
      </c>
      <c r="D1713" t="s">
        <v>14</v>
      </c>
      <c r="E1713" t="s">
        <v>20</v>
      </c>
      <c r="F1713" t="s">
        <v>21</v>
      </c>
      <c r="G1713">
        <v>34</v>
      </c>
      <c r="H1713" s="13">
        <v>92577</v>
      </c>
      <c r="I1713" s="13">
        <v>5619</v>
      </c>
      <c r="J1713" t="s">
        <v>26</v>
      </c>
      <c r="K1713" s="13">
        <f>HR_Data[[#This Row],[Salary]]+HR_Data[[#This Row],[Bonus]]</f>
        <v>98196</v>
      </c>
    </row>
    <row r="1714" spans="1:11" x14ac:dyDescent="0.25">
      <c r="A1714">
        <v>2713</v>
      </c>
      <c r="B1714" t="s">
        <v>1754</v>
      </c>
      <c r="C1714" t="s">
        <v>8</v>
      </c>
      <c r="D1714" t="s">
        <v>14</v>
      </c>
      <c r="E1714" t="s">
        <v>20</v>
      </c>
      <c r="F1714" t="s">
        <v>22</v>
      </c>
      <c r="G1714">
        <v>52</v>
      </c>
      <c r="H1714" s="13">
        <v>104303</v>
      </c>
      <c r="I1714" s="13">
        <v>12982</v>
      </c>
      <c r="J1714" t="s">
        <v>25</v>
      </c>
      <c r="K1714" s="13">
        <f>HR_Data[[#This Row],[Salary]]+HR_Data[[#This Row],[Bonus]]</f>
        <v>117285</v>
      </c>
    </row>
    <row r="1715" spans="1:11" x14ac:dyDescent="0.25">
      <c r="A1715">
        <v>2714</v>
      </c>
      <c r="B1715" t="s">
        <v>1755</v>
      </c>
      <c r="C1715" t="s">
        <v>2042</v>
      </c>
      <c r="D1715" t="s">
        <v>15</v>
      </c>
      <c r="E1715" t="s">
        <v>20</v>
      </c>
      <c r="F1715" t="s">
        <v>21</v>
      </c>
      <c r="G1715">
        <v>50</v>
      </c>
      <c r="H1715" s="13">
        <v>30846</v>
      </c>
      <c r="I1715" s="13">
        <v>8066</v>
      </c>
      <c r="J1715" t="s">
        <v>26</v>
      </c>
      <c r="K1715" s="13">
        <f>HR_Data[[#This Row],[Salary]]+HR_Data[[#This Row],[Bonus]]</f>
        <v>38912</v>
      </c>
    </row>
    <row r="1716" spans="1:11" x14ac:dyDescent="0.25">
      <c r="A1716">
        <v>2715</v>
      </c>
      <c r="B1716" t="s">
        <v>1756</v>
      </c>
      <c r="C1716" t="s">
        <v>8</v>
      </c>
      <c r="D1716" t="s">
        <v>14</v>
      </c>
      <c r="E1716" t="s">
        <v>16</v>
      </c>
      <c r="F1716" t="s">
        <v>24</v>
      </c>
      <c r="G1716">
        <v>49</v>
      </c>
      <c r="H1716" s="13">
        <v>39924</v>
      </c>
      <c r="I1716" s="13">
        <v>26256</v>
      </c>
      <c r="J1716" t="s">
        <v>25</v>
      </c>
      <c r="K1716" s="13">
        <f>HR_Data[[#This Row],[Salary]]+HR_Data[[#This Row],[Bonus]]</f>
        <v>66180</v>
      </c>
    </row>
    <row r="1717" spans="1:11" x14ac:dyDescent="0.25">
      <c r="A1717">
        <v>2716</v>
      </c>
      <c r="B1717" t="s">
        <v>1757</v>
      </c>
      <c r="C1717" t="s">
        <v>2042</v>
      </c>
      <c r="D1717" t="s">
        <v>14</v>
      </c>
      <c r="E1717" t="s">
        <v>17</v>
      </c>
      <c r="F1717" t="s">
        <v>24</v>
      </c>
      <c r="G1717">
        <v>48</v>
      </c>
      <c r="H1717" s="13">
        <v>33882</v>
      </c>
      <c r="I1717" s="13">
        <v>13638</v>
      </c>
      <c r="J1717" t="s">
        <v>26</v>
      </c>
      <c r="K1717" s="13">
        <f>HR_Data[[#This Row],[Salary]]+HR_Data[[#This Row],[Bonus]]</f>
        <v>47520</v>
      </c>
    </row>
    <row r="1718" spans="1:11" x14ac:dyDescent="0.25">
      <c r="A1718">
        <v>2717</v>
      </c>
      <c r="B1718" t="s">
        <v>1758</v>
      </c>
      <c r="C1718" t="s">
        <v>2042</v>
      </c>
      <c r="D1718" t="s">
        <v>14</v>
      </c>
      <c r="E1718" t="s">
        <v>20</v>
      </c>
      <c r="F1718" t="s">
        <v>21</v>
      </c>
      <c r="G1718">
        <v>36</v>
      </c>
      <c r="H1718" s="13">
        <v>100274</v>
      </c>
      <c r="I1718" s="13">
        <v>7337</v>
      </c>
      <c r="J1718" t="s">
        <v>25</v>
      </c>
      <c r="K1718" s="13">
        <f>HR_Data[[#This Row],[Salary]]+HR_Data[[#This Row],[Bonus]]</f>
        <v>107611</v>
      </c>
    </row>
    <row r="1719" spans="1:11" x14ac:dyDescent="0.25">
      <c r="A1719">
        <v>2718</v>
      </c>
      <c r="B1719" t="s">
        <v>1759</v>
      </c>
      <c r="C1719" t="s">
        <v>12</v>
      </c>
      <c r="D1719" t="s">
        <v>27</v>
      </c>
      <c r="E1719" t="s">
        <v>18</v>
      </c>
      <c r="F1719" t="s">
        <v>22</v>
      </c>
      <c r="G1719">
        <v>52</v>
      </c>
      <c r="H1719" s="13">
        <v>106555</v>
      </c>
      <c r="I1719" s="13">
        <v>29784</v>
      </c>
      <c r="J1719" t="s">
        <v>25</v>
      </c>
      <c r="K1719" s="13">
        <f>HR_Data[[#This Row],[Salary]]+HR_Data[[#This Row],[Bonus]]</f>
        <v>136339</v>
      </c>
    </row>
    <row r="1720" spans="1:11" x14ac:dyDescent="0.25">
      <c r="A1720">
        <v>2719</v>
      </c>
      <c r="B1720" t="s">
        <v>1760</v>
      </c>
      <c r="C1720" t="s">
        <v>10</v>
      </c>
      <c r="D1720" t="s">
        <v>14</v>
      </c>
      <c r="E1720" t="s">
        <v>20</v>
      </c>
      <c r="F1720" t="s">
        <v>24</v>
      </c>
      <c r="G1720">
        <v>36</v>
      </c>
      <c r="H1720" s="13">
        <v>21095</v>
      </c>
      <c r="I1720" s="13">
        <v>10594</v>
      </c>
      <c r="J1720" t="s">
        <v>26</v>
      </c>
      <c r="K1720" s="13">
        <f>HR_Data[[#This Row],[Salary]]+HR_Data[[#This Row],[Bonus]]</f>
        <v>31689</v>
      </c>
    </row>
    <row r="1721" spans="1:11" x14ac:dyDescent="0.25">
      <c r="A1721">
        <v>2720</v>
      </c>
      <c r="B1721" t="s">
        <v>1761</v>
      </c>
      <c r="C1721" t="s">
        <v>2042</v>
      </c>
      <c r="D1721" t="s">
        <v>14</v>
      </c>
      <c r="E1721" t="s">
        <v>19</v>
      </c>
      <c r="F1721" t="s">
        <v>23</v>
      </c>
      <c r="G1721">
        <v>54</v>
      </c>
      <c r="H1721" s="13">
        <v>60983</v>
      </c>
      <c r="I1721" s="13">
        <v>7460</v>
      </c>
      <c r="J1721" t="s">
        <v>25</v>
      </c>
      <c r="K1721" s="13">
        <f>HR_Data[[#This Row],[Salary]]+HR_Data[[#This Row],[Bonus]]</f>
        <v>68443</v>
      </c>
    </row>
    <row r="1722" spans="1:11" x14ac:dyDescent="0.25">
      <c r="A1722">
        <v>2721</v>
      </c>
      <c r="B1722" t="s">
        <v>1762</v>
      </c>
      <c r="C1722" t="s">
        <v>11</v>
      </c>
      <c r="D1722" t="s">
        <v>14</v>
      </c>
      <c r="E1722" t="s">
        <v>20</v>
      </c>
      <c r="F1722" t="s">
        <v>24</v>
      </c>
      <c r="G1722">
        <v>41</v>
      </c>
      <c r="H1722" s="13">
        <v>34123</v>
      </c>
      <c r="I1722" s="13">
        <v>11820</v>
      </c>
      <c r="J1722" t="s">
        <v>26</v>
      </c>
      <c r="K1722" s="13">
        <f>HR_Data[[#This Row],[Salary]]+HR_Data[[#This Row],[Bonus]]</f>
        <v>45943</v>
      </c>
    </row>
    <row r="1723" spans="1:11" x14ac:dyDescent="0.25">
      <c r="A1723">
        <v>2722</v>
      </c>
      <c r="B1723" t="s">
        <v>1763</v>
      </c>
      <c r="C1723" t="s">
        <v>2042</v>
      </c>
      <c r="D1723" t="s">
        <v>15</v>
      </c>
      <c r="E1723" t="s">
        <v>16</v>
      </c>
      <c r="F1723" t="s">
        <v>22</v>
      </c>
      <c r="G1723">
        <v>33</v>
      </c>
      <c r="H1723" s="13">
        <v>113668</v>
      </c>
      <c r="I1723" s="13">
        <v>26930</v>
      </c>
      <c r="J1723" t="s">
        <v>25</v>
      </c>
      <c r="K1723" s="13">
        <f>HR_Data[[#This Row],[Salary]]+HR_Data[[#This Row],[Bonus]]</f>
        <v>140598</v>
      </c>
    </row>
    <row r="1724" spans="1:11" x14ac:dyDescent="0.25">
      <c r="A1724">
        <v>2723</v>
      </c>
      <c r="B1724" t="s">
        <v>1764</v>
      </c>
      <c r="C1724" t="s">
        <v>9</v>
      </c>
      <c r="D1724" t="s">
        <v>15</v>
      </c>
      <c r="E1724" t="s">
        <v>20</v>
      </c>
      <c r="F1724" t="s">
        <v>24</v>
      </c>
      <c r="G1724">
        <v>58</v>
      </c>
      <c r="H1724" s="13">
        <v>86615</v>
      </c>
      <c r="I1724" s="13">
        <v>8442</v>
      </c>
      <c r="J1724" t="s">
        <v>25</v>
      </c>
      <c r="K1724" s="13">
        <f>HR_Data[[#This Row],[Salary]]+HR_Data[[#This Row],[Bonus]]</f>
        <v>95057</v>
      </c>
    </row>
    <row r="1725" spans="1:11" x14ac:dyDescent="0.25">
      <c r="A1725">
        <v>2724</v>
      </c>
      <c r="B1725" t="s">
        <v>1765</v>
      </c>
      <c r="C1725" t="s">
        <v>10</v>
      </c>
      <c r="D1725" t="s">
        <v>15</v>
      </c>
      <c r="E1725" t="s">
        <v>19</v>
      </c>
      <c r="F1725" t="s">
        <v>21</v>
      </c>
      <c r="G1725">
        <v>30</v>
      </c>
      <c r="H1725" s="13">
        <v>115193</v>
      </c>
      <c r="I1725" s="13">
        <v>21191</v>
      </c>
      <c r="J1725" t="s">
        <v>25</v>
      </c>
      <c r="K1725" s="13">
        <f>HR_Data[[#This Row],[Salary]]+HR_Data[[#This Row],[Bonus]]</f>
        <v>136384</v>
      </c>
    </row>
    <row r="1726" spans="1:11" x14ac:dyDescent="0.25">
      <c r="A1726">
        <v>2725</v>
      </c>
      <c r="B1726" t="s">
        <v>1766</v>
      </c>
      <c r="C1726" t="s">
        <v>9</v>
      </c>
      <c r="D1726" t="s">
        <v>15</v>
      </c>
      <c r="E1726" t="s">
        <v>18</v>
      </c>
      <c r="F1726" t="s">
        <v>24</v>
      </c>
      <c r="G1726">
        <v>44</v>
      </c>
      <c r="H1726" s="13">
        <v>65278</v>
      </c>
      <c r="I1726" s="13">
        <v>24095</v>
      </c>
      <c r="J1726" t="s">
        <v>25</v>
      </c>
      <c r="K1726" s="13">
        <f>HR_Data[[#This Row],[Salary]]+HR_Data[[#This Row],[Bonus]]</f>
        <v>89373</v>
      </c>
    </row>
    <row r="1727" spans="1:11" x14ac:dyDescent="0.25">
      <c r="A1727">
        <v>2726</v>
      </c>
      <c r="B1727" t="s">
        <v>1767</v>
      </c>
      <c r="C1727" t="s">
        <v>10</v>
      </c>
      <c r="D1727" t="s">
        <v>15</v>
      </c>
      <c r="E1727" t="s">
        <v>17</v>
      </c>
      <c r="F1727" t="s">
        <v>24</v>
      </c>
      <c r="G1727">
        <v>29</v>
      </c>
      <c r="H1727" s="13">
        <v>117911</v>
      </c>
      <c r="I1727" s="13">
        <v>21326</v>
      </c>
      <c r="J1727" t="s">
        <v>25</v>
      </c>
      <c r="K1727" s="13">
        <f>HR_Data[[#This Row],[Salary]]+HR_Data[[#This Row],[Bonus]]</f>
        <v>139237</v>
      </c>
    </row>
    <row r="1728" spans="1:11" x14ac:dyDescent="0.25">
      <c r="A1728">
        <v>2727</v>
      </c>
      <c r="B1728" t="s">
        <v>1768</v>
      </c>
      <c r="C1728" t="s">
        <v>9</v>
      </c>
      <c r="D1728" t="s">
        <v>14</v>
      </c>
      <c r="E1728" t="s">
        <v>20</v>
      </c>
      <c r="F1728" t="s">
        <v>22</v>
      </c>
      <c r="G1728">
        <v>53</v>
      </c>
      <c r="H1728" s="13">
        <v>110290</v>
      </c>
      <c r="I1728" s="13">
        <v>15529</v>
      </c>
      <c r="J1728" t="s">
        <v>25</v>
      </c>
      <c r="K1728" s="13">
        <f>HR_Data[[#This Row],[Salary]]+HR_Data[[#This Row],[Bonus]]</f>
        <v>125819</v>
      </c>
    </row>
    <row r="1729" spans="1:11" x14ac:dyDescent="0.25">
      <c r="A1729">
        <v>2728</v>
      </c>
      <c r="B1729" t="s">
        <v>1769</v>
      </c>
      <c r="C1729" t="s">
        <v>2042</v>
      </c>
      <c r="D1729" t="s">
        <v>14</v>
      </c>
      <c r="E1729" t="s">
        <v>19</v>
      </c>
      <c r="F1729" t="s">
        <v>21</v>
      </c>
      <c r="G1729">
        <v>35</v>
      </c>
      <c r="H1729" s="13">
        <v>71999</v>
      </c>
      <c r="I1729" s="13">
        <v>22675</v>
      </c>
      <c r="J1729" t="s">
        <v>25</v>
      </c>
      <c r="K1729" s="13">
        <f>HR_Data[[#This Row],[Salary]]+HR_Data[[#This Row],[Bonus]]</f>
        <v>94674</v>
      </c>
    </row>
    <row r="1730" spans="1:11" x14ac:dyDescent="0.25">
      <c r="A1730">
        <v>2729</v>
      </c>
      <c r="B1730" t="s">
        <v>1770</v>
      </c>
      <c r="C1730" t="s">
        <v>2042</v>
      </c>
      <c r="D1730" t="s">
        <v>14</v>
      </c>
      <c r="E1730" t="s">
        <v>19</v>
      </c>
      <c r="F1730" t="s">
        <v>22</v>
      </c>
      <c r="G1730">
        <v>48</v>
      </c>
      <c r="H1730" s="13">
        <v>51153</v>
      </c>
      <c r="I1730" s="13">
        <v>15390</v>
      </c>
      <c r="J1730" t="s">
        <v>25</v>
      </c>
      <c r="K1730" s="13">
        <f>HR_Data[[#This Row],[Salary]]+HR_Data[[#This Row],[Bonus]]</f>
        <v>66543</v>
      </c>
    </row>
    <row r="1731" spans="1:11" x14ac:dyDescent="0.25">
      <c r="A1731">
        <v>2730</v>
      </c>
      <c r="B1731" t="s">
        <v>1771</v>
      </c>
      <c r="C1731" t="s">
        <v>12</v>
      </c>
      <c r="D1731" t="s">
        <v>14</v>
      </c>
      <c r="E1731" t="s">
        <v>18</v>
      </c>
      <c r="F1731" t="s">
        <v>24</v>
      </c>
      <c r="G1731">
        <v>46</v>
      </c>
      <c r="H1731" s="13">
        <v>38344</v>
      </c>
      <c r="I1731" s="13">
        <v>19030</v>
      </c>
      <c r="J1731" t="s">
        <v>25</v>
      </c>
      <c r="K1731" s="13">
        <f>HR_Data[[#This Row],[Salary]]+HR_Data[[#This Row],[Bonus]]</f>
        <v>57374</v>
      </c>
    </row>
    <row r="1732" spans="1:11" x14ac:dyDescent="0.25">
      <c r="A1732">
        <v>2731</v>
      </c>
      <c r="B1732" t="s">
        <v>1772</v>
      </c>
      <c r="C1732" t="s">
        <v>11</v>
      </c>
      <c r="D1732" t="s">
        <v>15</v>
      </c>
      <c r="E1732" t="s">
        <v>16</v>
      </c>
      <c r="F1732" t="s">
        <v>23</v>
      </c>
      <c r="G1732">
        <v>34</v>
      </c>
      <c r="H1732" s="13">
        <v>119777</v>
      </c>
      <c r="I1732" s="13">
        <v>10374</v>
      </c>
      <c r="J1732" t="s">
        <v>25</v>
      </c>
      <c r="K1732" s="13">
        <f>HR_Data[[#This Row],[Salary]]+HR_Data[[#This Row],[Bonus]]</f>
        <v>130151</v>
      </c>
    </row>
    <row r="1733" spans="1:11" x14ac:dyDescent="0.25">
      <c r="A1733">
        <v>2732</v>
      </c>
      <c r="B1733" t="s">
        <v>1773</v>
      </c>
      <c r="C1733" t="s">
        <v>9</v>
      </c>
      <c r="D1733" t="s">
        <v>14</v>
      </c>
      <c r="E1733" t="s">
        <v>20</v>
      </c>
      <c r="F1733" t="s">
        <v>24</v>
      </c>
      <c r="G1733">
        <v>42</v>
      </c>
      <c r="H1733" s="13">
        <v>57656</v>
      </c>
      <c r="I1733" s="13">
        <v>18142</v>
      </c>
      <c r="J1733" t="s">
        <v>25</v>
      </c>
      <c r="K1733" s="13">
        <f>HR_Data[[#This Row],[Salary]]+HR_Data[[#This Row],[Bonus]]</f>
        <v>75798</v>
      </c>
    </row>
    <row r="1734" spans="1:11" x14ac:dyDescent="0.25">
      <c r="A1734">
        <v>2733</v>
      </c>
      <c r="B1734" t="s">
        <v>1774</v>
      </c>
      <c r="C1734" t="s">
        <v>8</v>
      </c>
      <c r="D1734" t="s">
        <v>14</v>
      </c>
      <c r="E1734" t="s">
        <v>19</v>
      </c>
      <c r="F1734" t="s">
        <v>22</v>
      </c>
      <c r="G1734">
        <v>52</v>
      </c>
      <c r="H1734" s="13">
        <v>90515</v>
      </c>
      <c r="I1734" s="13">
        <v>24039</v>
      </c>
      <c r="J1734" t="s">
        <v>26</v>
      </c>
      <c r="K1734" s="13">
        <f>HR_Data[[#This Row],[Salary]]+HR_Data[[#This Row],[Bonus]]</f>
        <v>114554</v>
      </c>
    </row>
    <row r="1735" spans="1:11" x14ac:dyDescent="0.25">
      <c r="A1735">
        <v>2734</v>
      </c>
      <c r="B1735" t="s">
        <v>1775</v>
      </c>
      <c r="C1735" t="s">
        <v>12</v>
      </c>
      <c r="D1735" t="s">
        <v>15</v>
      </c>
      <c r="E1735" t="s">
        <v>18</v>
      </c>
      <c r="F1735" t="s">
        <v>23</v>
      </c>
      <c r="G1735">
        <v>58</v>
      </c>
      <c r="H1735" s="13">
        <v>21212</v>
      </c>
      <c r="I1735" s="13">
        <v>17204</v>
      </c>
      <c r="J1735" t="s">
        <v>25</v>
      </c>
      <c r="K1735" s="13">
        <f>HR_Data[[#This Row],[Salary]]+HR_Data[[#This Row],[Bonus]]</f>
        <v>38416</v>
      </c>
    </row>
    <row r="1736" spans="1:11" x14ac:dyDescent="0.25">
      <c r="A1736">
        <v>2735</v>
      </c>
      <c r="B1736" t="s">
        <v>1776</v>
      </c>
      <c r="C1736" t="s">
        <v>9</v>
      </c>
      <c r="D1736" t="s">
        <v>14</v>
      </c>
      <c r="E1736" t="s">
        <v>17</v>
      </c>
      <c r="F1736" t="s">
        <v>22</v>
      </c>
      <c r="G1736">
        <v>26</v>
      </c>
      <c r="H1736" s="13">
        <v>29001</v>
      </c>
      <c r="I1736" s="13">
        <v>27897</v>
      </c>
      <c r="J1736" t="s">
        <v>25</v>
      </c>
      <c r="K1736" s="13">
        <f>HR_Data[[#This Row],[Salary]]+HR_Data[[#This Row],[Bonus]]</f>
        <v>56898</v>
      </c>
    </row>
    <row r="1737" spans="1:11" x14ac:dyDescent="0.25">
      <c r="A1737">
        <v>2736</v>
      </c>
      <c r="B1737" t="s">
        <v>1777</v>
      </c>
      <c r="C1737" t="s">
        <v>9</v>
      </c>
      <c r="D1737" t="s">
        <v>14</v>
      </c>
      <c r="E1737" t="s">
        <v>19</v>
      </c>
      <c r="F1737" t="s">
        <v>22</v>
      </c>
      <c r="G1737">
        <v>34</v>
      </c>
      <c r="H1737" s="13">
        <v>98784</v>
      </c>
      <c r="I1737" s="13">
        <v>12394</v>
      </c>
      <c r="J1737" t="s">
        <v>25</v>
      </c>
      <c r="K1737" s="13">
        <f>HR_Data[[#This Row],[Salary]]+HR_Data[[#This Row],[Bonus]]</f>
        <v>111178</v>
      </c>
    </row>
    <row r="1738" spans="1:11" x14ac:dyDescent="0.25">
      <c r="A1738">
        <v>2737</v>
      </c>
      <c r="B1738" t="s">
        <v>1778</v>
      </c>
      <c r="C1738" t="s">
        <v>12</v>
      </c>
      <c r="D1738" t="s">
        <v>15</v>
      </c>
      <c r="E1738" t="s">
        <v>18</v>
      </c>
      <c r="F1738" t="s">
        <v>21</v>
      </c>
      <c r="G1738">
        <v>49</v>
      </c>
      <c r="H1738" s="13">
        <v>118723</v>
      </c>
      <c r="I1738" s="13">
        <v>22088</v>
      </c>
      <c r="J1738" t="s">
        <v>26</v>
      </c>
      <c r="K1738" s="13">
        <f>HR_Data[[#This Row],[Salary]]+HR_Data[[#This Row],[Bonus]]</f>
        <v>140811</v>
      </c>
    </row>
    <row r="1739" spans="1:11" x14ac:dyDescent="0.25">
      <c r="A1739">
        <v>2738</v>
      </c>
      <c r="B1739" t="s">
        <v>1779</v>
      </c>
      <c r="C1739" t="s">
        <v>2042</v>
      </c>
      <c r="D1739" t="s">
        <v>14</v>
      </c>
      <c r="E1739" t="s">
        <v>16</v>
      </c>
      <c r="F1739" t="s">
        <v>23</v>
      </c>
      <c r="G1739">
        <v>46</v>
      </c>
      <c r="H1739" s="13">
        <v>101144</v>
      </c>
      <c r="I1739" s="13">
        <v>5825</v>
      </c>
      <c r="J1739" t="s">
        <v>25</v>
      </c>
      <c r="K1739" s="13">
        <f>HR_Data[[#This Row],[Salary]]+HR_Data[[#This Row],[Bonus]]</f>
        <v>106969</v>
      </c>
    </row>
    <row r="1740" spans="1:11" x14ac:dyDescent="0.25">
      <c r="A1740">
        <v>2739</v>
      </c>
      <c r="B1740" t="s">
        <v>1780</v>
      </c>
      <c r="C1740" t="s">
        <v>9</v>
      </c>
      <c r="D1740" t="s">
        <v>14</v>
      </c>
      <c r="E1740" t="s">
        <v>16</v>
      </c>
      <c r="F1740" t="s">
        <v>24</v>
      </c>
      <c r="G1740">
        <v>56</v>
      </c>
      <c r="H1740" s="13">
        <v>56427</v>
      </c>
      <c r="I1740" s="13">
        <v>14196</v>
      </c>
      <c r="J1740" t="s">
        <v>26</v>
      </c>
      <c r="K1740" s="13">
        <f>HR_Data[[#This Row],[Salary]]+HR_Data[[#This Row],[Bonus]]</f>
        <v>70623</v>
      </c>
    </row>
    <row r="1741" spans="1:11" x14ac:dyDescent="0.25">
      <c r="A1741">
        <v>2740</v>
      </c>
      <c r="B1741" t="s">
        <v>1781</v>
      </c>
      <c r="C1741" t="s">
        <v>2042</v>
      </c>
      <c r="D1741" t="s">
        <v>14</v>
      </c>
      <c r="E1741" t="s">
        <v>19</v>
      </c>
      <c r="F1741" t="s">
        <v>22</v>
      </c>
      <c r="G1741">
        <v>28</v>
      </c>
      <c r="H1741" s="13">
        <v>51368</v>
      </c>
      <c r="I1741" s="13">
        <v>16652</v>
      </c>
      <c r="J1741" t="s">
        <v>25</v>
      </c>
      <c r="K1741" s="13">
        <f>HR_Data[[#This Row],[Salary]]+HR_Data[[#This Row],[Bonus]]</f>
        <v>68020</v>
      </c>
    </row>
    <row r="1742" spans="1:11" x14ac:dyDescent="0.25">
      <c r="A1742">
        <v>2741</v>
      </c>
      <c r="B1742" t="s">
        <v>1782</v>
      </c>
      <c r="C1742" t="s">
        <v>12</v>
      </c>
      <c r="D1742" t="s">
        <v>14</v>
      </c>
      <c r="E1742" t="s">
        <v>19</v>
      </c>
      <c r="F1742" t="s">
        <v>24</v>
      </c>
      <c r="G1742">
        <v>59</v>
      </c>
      <c r="H1742" s="13">
        <v>90819</v>
      </c>
      <c r="I1742" s="13">
        <v>21760</v>
      </c>
      <c r="J1742" t="s">
        <v>25</v>
      </c>
      <c r="K1742" s="13">
        <f>HR_Data[[#This Row],[Salary]]+HR_Data[[#This Row],[Bonus]]</f>
        <v>112579</v>
      </c>
    </row>
    <row r="1743" spans="1:11" x14ac:dyDescent="0.25">
      <c r="A1743">
        <v>2742</v>
      </c>
      <c r="B1743" t="s">
        <v>1783</v>
      </c>
      <c r="C1743" t="s">
        <v>2042</v>
      </c>
      <c r="D1743" t="s">
        <v>14</v>
      </c>
      <c r="E1743" t="s">
        <v>20</v>
      </c>
      <c r="F1743" t="s">
        <v>21</v>
      </c>
      <c r="G1743">
        <v>53</v>
      </c>
      <c r="H1743" s="13">
        <v>81160</v>
      </c>
      <c r="I1743" s="13">
        <v>5972</v>
      </c>
      <c r="J1743" t="s">
        <v>25</v>
      </c>
      <c r="K1743" s="13">
        <f>HR_Data[[#This Row],[Salary]]+HR_Data[[#This Row],[Bonus]]</f>
        <v>87132</v>
      </c>
    </row>
    <row r="1744" spans="1:11" x14ac:dyDescent="0.25">
      <c r="A1744">
        <v>2743</v>
      </c>
      <c r="B1744" t="s">
        <v>1784</v>
      </c>
      <c r="C1744" t="s">
        <v>10</v>
      </c>
      <c r="D1744" t="s">
        <v>15</v>
      </c>
      <c r="E1744" t="s">
        <v>18</v>
      </c>
      <c r="F1744" t="s">
        <v>21</v>
      </c>
      <c r="G1744">
        <v>24</v>
      </c>
      <c r="H1744" s="13">
        <v>45854</v>
      </c>
      <c r="I1744" s="13">
        <v>25597</v>
      </c>
      <c r="J1744" t="s">
        <v>25</v>
      </c>
      <c r="K1744" s="13">
        <f>HR_Data[[#This Row],[Salary]]+HR_Data[[#This Row],[Bonus]]</f>
        <v>71451</v>
      </c>
    </row>
    <row r="1745" spans="1:11" x14ac:dyDescent="0.25">
      <c r="A1745">
        <v>2744</v>
      </c>
      <c r="B1745" t="s">
        <v>1785</v>
      </c>
      <c r="C1745" t="s">
        <v>8</v>
      </c>
      <c r="D1745" t="s">
        <v>15</v>
      </c>
      <c r="E1745" t="s">
        <v>19</v>
      </c>
      <c r="F1745" t="s">
        <v>23</v>
      </c>
      <c r="G1745">
        <v>58</v>
      </c>
      <c r="H1745" s="13">
        <v>30715</v>
      </c>
      <c r="I1745" s="13">
        <v>16268</v>
      </c>
      <c r="J1745" t="s">
        <v>25</v>
      </c>
      <c r="K1745" s="13">
        <f>HR_Data[[#This Row],[Salary]]+HR_Data[[#This Row],[Bonus]]</f>
        <v>46983</v>
      </c>
    </row>
    <row r="1746" spans="1:11" x14ac:dyDescent="0.25">
      <c r="A1746">
        <v>2745</v>
      </c>
      <c r="B1746" t="s">
        <v>1786</v>
      </c>
      <c r="C1746" t="s">
        <v>9</v>
      </c>
      <c r="D1746" t="s">
        <v>15</v>
      </c>
      <c r="E1746" t="s">
        <v>20</v>
      </c>
      <c r="F1746" t="s">
        <v>21</v>
      </c>
      <c r="G1746">
        <v>43</v>
      </c>
      <c r="H1746" s="13">
        <v>101701</v>
      </c>
      <c r="I1746" s="13">
        <v>5443</v>
      </c>
      <c r="J1746" t="s">
        <v>25</v>
      </c>
      <c r="K1746" s="13">
        <f>HR_Data[[#This Row],[Salary]]+HR_Data[[#This Row],[Bonus]]</f>
        <v>107144</v>
      </c>
    </row>
    <row r="1747" spans="1:11" x14ac:dyDescent="0.25">
      <c r="A1747">
        <v>2746</v>
      </c>
      <c r="B1747" t="s">
        <v>1787</v>
      </c>
      <c r="C1747" t="s">
        <v>11</v>
      </c>
      <c r="D1747" t="s">
        <v>15</v>
      </c>
      <c r="E1747" t="s">
        <v>20</v>
      </c>
      <c r="F1747" t="s">
        <v>21</v>
      </c>
      <c r="G1747">
        <v>29</v>
      </c>
      <c r="H1747" s="13">
        <v>78784</v>
      </c>
      <c r="I1747" s="13">
        <v>28903</v>
      </c>
      <c r="J1747" t="s">
        <v>25</v>
      </c>
      <c r="K1747" s="13">
        <f>HR_Data[[#This Row],[Salary]]+HR_Data[[#This Row],[Bonus]]</f>
        <v>107687</v>
      </c>
    </row>
    <row r="1748" spans="1:11" x14ac:dyDescent="0.25">
      <c r="A1748">
        <v>2747</v>
      </c>
      <c r="B1748" t="s">
        <v>1788</v>
      </c>
      <c r="C1748" t="s">
        <v>8</v>
      </c>
      <c r="D1748" t="s">
        <v>15</v>
      </c>
      <c r="E1748" t="s">
        <v>19</v>
      </c>
      <c r="F1748" t="s">
        <v>24</v>
      </c>
      <c r="G1748">
        <v>38</v>
      </c>
      <c r="H1748" s="13">
        <v>119644</v>
      </c>
      <c r="I1748" s="13">
        <v>5754</v>
      </c>
      <c r="J1748" t="s">
        <v>25</v>
      </c>
      <c r="K1748" s="13">
        <f>HR_Data[[#This Row],[Salary]]+HR_Data[[#This Row],[Bonus]]</f>
        <v>125398</v>
      </c>
    </row>
    <row r="1749" spans="1:11" x14ac:dyDescent="0.25">
      <c r="A1749">
        <v>2748</v>
      </c>
      <c r="B1749" t="s">
        <v>1789</v>
      </c>
      <c r="C1749" t="s">
        <v>2042</v>
      </c>
      <c r="D1749" t="s">
        <v>15</v>
      </c>
      <c r="E1749" t="s">
        <v>16</v>
      </c>
      <c r="F1749" t="s">
        <v>21</v>
      </c>
      <c r="G1749">
        <v>48</v>
      </c>
      <c r="H1749" s="13">
        <v>46797</v>
      </c>
      <c r="I1749" s="13">
        <v>21023</v>
      </c>
      <c r="J1749" t="s">
        <v>25</v>
      </c>
      <c r="K1749" s="13">
        <f>HR_Data[[#This Row],[Salary]]+HR_Data[[#This Row],[Bonus]]</f>
        <v>67820</v>
      </c>
    </row>
    <row r="1750" spans="1:11" x14ac:dyDescent="0.25">
      <c r="A1750">
        <v>2749</v>
      </c>
      <c r="B1750" t="s">
        <v>1790</v>
      </c>
      <c r="C1750" t="s">
        <v>9</v>
      </c>
      <c r="D1750" t="s">
        <v>14</v>
      </c>
      <c r="E1750" t="s">
        <v>18</v>
      </c>
      <c r="F1750" t="s">
        <v>21</v>
      </c>
      <c r="G1750">
        <v>54</v>
      </c>
      <c r="H1750" s="13">
        <v>67573</v>
      </c>
      <c r="I1750" s="13">
        <v>26119</v>
      </c>
      <c r="J1750" t="s">
        <v>25</v>
      </c>
      <c r="K1750" s="13">
        <f>HR_Data[[#This Row],[Salary]]+HR_Data[[#This Row],[Bonus]]</f>
        <v>93692</v>
      </c>
    </row>
    <row r="1751" spans="1:11" x14ac:dyDescent="0.25">
      <c r="A1751">
        <v>2750</v>
      </c>
      <c r="B1751" t="s">
        <v>1791</v>
      </c>
      <c r="C1751" t="s">
        <v>2042</v>
      </c>
      <c r="D1751" t="s">
        <v>15</v>
      </c>
      <c r="E1751" t="s">
        <v>18</v>
      </c>
      <c r="F1751" t="s">
        <v>22</v>
      </c>
      <c r="G1751">
        <v>38</v>
      </c>
      <c r="H1751" s="13">
        <v>96120</v>
      </c>
      <c r="I1751" s="13">
        <v>15363</v>
      </c>
      <c r="J1751" t="s">
        <v>25</v>
      </c>
      <c r="K1751" s="13">
        <f>HR_Data[[#This Row],[Salary]]+HR_Data[[#This Row],[Bonus]]</f>
        <v>111483</v>
      </c>
    </row>
    <row r="1752" spans="1:11" x14ac:dyDescent="0.25">
      <c r="A1752">
        <v>2751</v>
      </c>
      <c r="B1752" t="s">
        <v>1792</v>
      </c>
      <c r="C1752" t="s">
        <v>10</v>
      </c>
      <c r="D1752" t="s">
        <v>15</v>
      </c>
      <c r="E1752" t="s">
        <v>16</v>
      </c>
      <c r="F1752" t="s">
        <v>21</v>
      </c>
      <c r="G1752">
        <v>33</v>
      </c>
      <c r="H1752" s="13">
        <v>34780</v>
      </c>
      <c r="I1752" s="13">
        <v>15897</v>
      </c>
      <c r="J1752" t="s">
        <v>25</v>
      </c>
      <c r="K1752" s="13">
        <f>HR_Data[[#This Row],[Salary]]+HR_Data[[#This Row],[Bonus]]</f>
        <v>50677</v>
      </c>
    </row>
    <row r="1753" spans="1:11" x14ac:dyDescent="0.25">
      <c r="A1753">
        <v>2752</v>
      </c>
      <c r="B1753" t="s">
        <v>1793</v>
      </c>
      <c r="C1753" t="s">
        <v>12</v>
      </c>
      <c r="D1753" t="s">
        <v>14</v>
      </c>
      <c r="E1753" t="s">
        <v>19</v>
      </c>
      <c r="F1753" t="s">
        <v>22</v>
      </c>
      <c r="G1753">
        <v>48</v>
      </c>
      <c r="H1753" s="13">
        <v>57905</v>
      </c>
      <c r="I1753" s="13">
        <v>10396</v>
      </c>
      <c r="J1753" t="s">
        <v>26</v>
      </c>
      <c r="K1753" s="13">
        <f>HR_Data[[#This Row],[Salary]]+HR_Data[[#This Row],[Bonus]]</f>
        <v>68301</v>
      </c>
    </row>
    <row r="1754" spans="1:11" x14ac:dyDescent="0.25">
      <c r="A1754">
        <v>2753</v>
      </c>
      <c r="B1754" t="s">
        <v>1794</v>
      </c>
      <c r="C1754" t="s">
        <v>9</v>
      </c>
      <c r="D1754" t="s">
        <v>14</v>
      </c>
      <c r="E1754" t="s">
        <v>18</v>
      </c>
      <c r="F1754" t="s">
        <v>21</v>
      </c>
      <c r="G1754">
        <v>29</v>
      </c>
      <c r="H1754" s="13">
        <v>69554.53</v>
      </c>
      <c r="I1754" s="13">
        <v>8465</v>
      </c>
      <c r="J1754" t="s">
        <v>25</v>
      </c>
      <c r="K1754" s="13">
        <f>HR_Data[[#This Row],[Salary]]+HR_Data[[#This Row],[Bonus]]</f>
        <v>78019.53</v>
      </c>
    </row>
    <row r="1755" spans="1:11" x14ac:dyDescent="0.25">
      <c r="A1755">
        <v>2754</v>
      </c>
      <c r="B1755" t="s">
        <v>1795</v>
      </c>
      <c r="C1755" t="s">
        <v>10</v>
      </c>
      <c r="D1755" t="s">
        <v>15</v>
      </c>
      <c r="E1755" t="s">
        <v>19</v>
      </c>
      <c r="F1755" t="s">
        <v>21</v>
      </c>
      <c r="G1755">
        <v>44</v>
      </c>
      <c r="H1755" s="13">
        <v>53359</v>
      </c>
      <c r="I1755" s="13">
        <v>7711</v>
      </c>
      <c r="J1755" t="s">
        <v>25</v>
      </c>
      <c r="K1755" s="13">
        <f>HR_Data[[#This Row],[Salary]]+HR_Data[[#This Row],[Bonus]]</f>
        <v>61070</v>
      </c>
    </row>
    <row r="1756" spans="1:11" x14ac:dyDescent="0.25">
      <c r="A1756">
        <v>2755</v>
      </c>
      <c r="B1756" t="s">
        <v>1796</v>
      </c>
      <c r="C1756" t="s">
        <v>10</v>
      </c>
      <c r="D1756" t="s">
        <v>14</v>
      </c>
      <c r="E1756" t="s">
        <v>19</v>
      </c>
      <c r="F1756" t="s">
        <v>23</v>
      </c>
      <c r="G1756">
        <v>50</v>
      </c>
      <c r="H1756" s="13">
        <v>86062</v>
      </c>
      <c r="I1756" s="13">
        <v>23791</v>
      </c>
      <c r="J1756" t="s">
        <v>25</v>
      </c>
      <c r="K1756" s="13">
        <f>HR_Data[[#This Row],[Salary]]+HR_Data[[#This Row],[Bonus]]</f>
        <v>109853</v>
      </c>
    </row>
    <row r="1757" spans="1:11" x14ac:dyDescent="0.25">
      <c r="A1757">
        <v>2756</v>
      </c>
      <c r="B1757" t="s">
        <v>1797</v>
      </c>
      <c r="C1757" t="s">
        <v>9</v>
      </c>
      <c r="D1757" t="s">
        <v>15</v>
      </c>
      <c r="E1757" t="s">
        <v>20</v>
      </c>
      <c r="F1757" t="s">
        <v>23</v>
      </c>
      <c r="G1757">
        <v>41</v>
      </c>
      <c r="H1757" s="13">
        <v>93391</v>
      </c>
      <c r="I1757" s="13">
        <v>26972</v>
      </c>
      <c r="J1757" t="s">
        <v>26</v>
      </c>
      <c r="K1757" s="13">
        <f>HR_Data[[#This Row],[Salary]]+HR_Data[[#This Row],[Bonus]]</f>
        <v>120363</v>
      </c>
    </row>
    <row r="1758" spans="1:11" x14ac:dyDescent="0.25">
      <c r="A1758">
        <v>2757</v>
      </c>
      <c r="B1758" t="s">
        <v>1798</v>
      </c>
      <c r="C1758" t="s">
        <v>2042</v>
      </c>
      <c r="D1758" t="s">
        <v>14</v>
      </c>
      <c r="E1758" t="s">
        <v>16</v>
      </c>
      <c r="F1758" t="s">
        <v>22</v>
      </c>
      <c r="G1758">
        <v>37</v>
      </c>
      <c r="H1758" s="13">
        <v>63463</v>
      </c>
      <c r="I1758" s="13">
        <v>27488</v>
      </c>
      <c r="J1758" t="s">
        <v>25</v>
      </c>
      <c r="K1758" s="13">
        <f>HR_Data[[#This Row],[Salary]]+HR_Data[[#This Row],[Bonus]]</f>
        <v>90951</v>
      </c>
    </row>
    <row r="1759" spans="1:11" x14ac:dyDescent="0.25">
      <c r="A1759">
        <v>2758</v>
      </c>
      <c r="B1759" t="s">
        <v>1799</v>
      </c>
      <c r="C1759" t="s">
        <v>11</v>
      </c>
      <c r="D1759" t="s">
        <v>15</v>
      </c>
      <c r="E1759" t="s">
        <v>19</v>
      </c>
      <c r="F1759" t="s">
        <v>21</v>
      </c>
      <c r="G1759">
        <v>38</v>
      </c>
      <c r="H1759" s="13">
        <v>119596</v>
      </c>
      <c r="I1759" s="13">
        <v>10747</v>
      </c>
      <c r="J1759" t="s">
        <v>25</v>
      </c>
      <c r="K1759" s="13">
        <f>HR_Data[[#This Row],[Salary]]+HR_Data[[#This Row],[Bonus]]</f>
        <v>130343</v>
      </c>
    </row>
    <row r="1760" spans="1:11" x14ac:dyDescent="0.25">
      <c r="A1760">
        <v>2759</v>
      </c>
      <c r="B1760" t="s">
        <v>1800</v>
      </c>
      <c r="C1760" t="s">
        <v>10</v>
      </c>
      <c r="D1760" t="s">
        <v>14</v>
      </c>
      <c r="E1760" t="s">
        <v>17</v>
      </c>
      <c r="F1760" t="s">
        <v>24</v>
      </c>
      <c r="G1760">
        <v>37</v>
      </c>
      <c r="H1760" s="13">
        <v>115018</v>
      </c>
      <c r="I1760" s="13">
        <v>23107</v>
      </c>
      <c r="J1760" t="s">
        <v>25</v>
      </c>
      <c r="K1760" s="13">
        <f>HR_Data[[#This Row],[Salary]]+HR_Data[[#This Row],[Bonus]]</f>
        <v>138125</v>
      </c>
    </row>
    <row r="1761" spans="1:11" x14ac:dyDescent="0.25">
      <c r="A1761">
        <v>2760</v>
      </c>
      <c r="B1761" t="s">
        <v>1801</v>
      </c>
      <c r="C1761" t="s">
        <v>8</v>
      </c>
      <c r="D1761" t="s">
        <v>14</v>
      </c>
      <c r="E1761" t="s">
        <v>16</v>
      </c>
      <c r="F1761" t="s">
        <v>23</v>
      </c>
      <c r="G1761">
        <v>40</v>
      </c>
      <c r="H1761" s="13">
        <v>36571</v>
      </c>
      <c r="I1761" s="13">
        <v>28608</v>
      </c>
      <c r="J1761" t="s">
        <v>25</v>
      </c>
      <c r="K1761" s="13">
        <f>HR_Data[[#This Row],[Salary]]+HR_Data[[#This Row],[Bonus]]</f>
        <v>65179</v>
      </c>
    </row>
    <row r="1762" spans="1:11" x14ac:dyDescent="0.25">
      <c r="A1762">
        <v>2761</v>
      </c>
      <c r="B1762" t="s">
        <v>1802</v>
      </c>
      <c r="C1762" t="s">
        <v>10</v>
      </c>
      <c r="D1762" t="s">
        <v>15</v>
      </c>
      <c r="E1762" t="s">
        <v>18</v>
      </c>
      <c r="F1762" t="s">
        <v>24</v>
      </c>
      <c r="G1762">
        <v>29</v>
      </c>
      <c r="H1762" s="13">
        <v>117276</v>
      </c>
      <c r="I1762" s="13">
        <v>6919</v>
      </c>
      <c r="J1762" t="s">
        <v>25</v>
      </c>
      <c r="K1762" s="13">
        <f>HR_Data[[#This Row],[Salary]]+HR_Data[[#This Row],[Bonus]]</f>
        <v>124195</v>
      </c>
    </row>
    <row r="1763" spans="1:11" x14ac:dyDescent="0.25">
      <c r="A1763">
        <v>2762</v>
      </c>
      <c r="B1763" t="s">
        <v>1803</v>
      </c>
      <c r="C1763" t="s">
        <v>11</v>
      </c>
      <c r="D1763" t="s">
        <v>15</v>
      </c>
      <c r="E1763" t="s">
        <v>20</v>
      </c>
      <c r="F1763" t="s">
        <v>23</v>
      </c>
      <c r="G1763">
        <v>59</v>
      </c>
      <c r="H1763" s="13">
        <v>39142</v>
      </c>
      <c r="I1763" s="13">
        <v>22302</v>
      </c>
      <c r="J1763" t="s">
        <v>25</v>
      </c>
      <c r="K1763" s="13">
        <f>HR_Data[[#This Row],[Salary]]+HR_Data[[#This Row],[Bonus]]</f>
        <v>61444</v>
      </c>
    </row>
    <row r="1764" spans="1:11" x14ac:dyDescent="0.25">
      <c r="A1764">
        <v>2763</v>
      </c>
      <c r="B1764" t="s">
        <v>1804</v>
      </c>
      <c r="C1764" t="s">
        <v>2042</v>
      </c>
      <c r="D1764" t="s">
        <v>14</v>
      </c>
      <c r="E1764" t="s">
        <v>18</v>
      </c>
      <c r="F1764" t="s">
        <v>23</v>
      </c>
      <c r="G1764">
        <v>59</v>
      </c>
      <c r="H1764" s="13">
        <v>45104</v>
      </c>
      <c r="I1764" s="13">
        <v>18473</v>
      </c>
      <c r="J1764" t="s">
        <v>26</v>
      </c>
      <c r="K1764" s="13">
        <f>HR_Data[[#This Row],[Salary]]+HR_Data[[#This Row],[Bonus]]</f>
        <v>63577</v>
      </c>
    </row>
    <row r="1765" spans="1:11" x14ac:dyDescent="0.25">
      <c r="A1765">
        <v>2764</v>
      </c>
      <c r="B1765" t="s">
        <v>1805</v>
      </c>
      <c r="C1765" t="s">
        <v>2042</v>
      </c>
      <c r="D1765" t="s">
        <v>15</v>
      </c>
      <c r="E1765" t="s">
        <v>18</v>
      </c>
      <c r="F1765" t="s">
        <v>21</v>
      </c>
      <c r="G1765">
        <v>50</v>
      </c>
      <c r="H1765" s="13">
        <v>28625</v>
      </c>
      <c r="I1765" s="13">
        <v>25599</v>
      </c>
      <c r="J1765" t="s">
        <v>25</v>
      </c>
      <c r="K1765" s="13">
        <f>HR_Data[[#This Row],[Salary]]+HR_Data[[#This Row],[Bonus]]</f>
        <v>54224</v>
      </c>
    </row>
    <row r="1766" spans="1:11" x14ac:dyDescent="0.25">
      <c r="A1766">
        <v>2765</v>
      </c>
      <c r="B1766" t="s">
        <v>1806</v>
      </c>
      <c r="C1766" t="s">
        <v>8</v>
      </c>
      <c r="D1766" t="s">
        <v>15</v>
      </c>
      <c r="E1766" t="s">
        <v>16</v>
      </c>
      <c r="F1766" t="s">
        <v>23</v>
      </c>
      <c r="G1766">
        <v>57</v>
      </c>
      <c r="H1766" s="13">
        <v>59199</v>
      </c>
      <c r="I1766" s="13">
        <v>21965</v>
      </c>
      <c r="J1766" t="s">
        <v>26</v>
      </c>
      <c r="K1766" s="13">
        <f>HR_Data[[#This Row],[Salary]]+HR_Data[[#This Row],[Bonus]]</f>
        <v>81164</v>
      </c>
    </row>
    <row r="1767" spans="1:11" x14ac:dyDescent="0.25">
      <c r="A1767">
        <v>2766</v>
      </c>
      <c r="B1767" t="s">
        <v>1807</v>
      </c>
      <c r="C1767" t="s">
        <v>10</v>
      </c>
      <c r="D1767" t="s">
        <v>14</v>
      </c>
      <c r="E1767" t="s">
        <v>18</v>
      </c>
      <c r="F1767" t="s">
        <v>24</v>
      </c>
      <c r="G1767">
        <v>47</v>
      </c>
      <c r="H1767" s="13">
        <v>35926</v>
      </c>
      <c r="I1767" s="13">
        <v>19235</v>
      </c>
      <c r="J1767" t="s">
        <v>25</v>
      </c>
      <c r="K1767" s="13">
        <f>HR_Data[[#This Row],[Salary]]+HR_Data[[#This Row],[Bonus]]</f>
        <v>55161</v>
      </c>
    </row>
    <row r="1768" spans="1:11" x14ac:dyDescent="0.25">
      <c r="A1768">
        <v>2767</v>
      </c>
      <c r="B1768" t="s">
        <v>1808</v>
      </c>
      <c r="C1768" t="s">
        <v>2042</v>
      </c>
      <c r="D1768" t="s">
        <v>15</v>
      </c>
      <c r="E1768" t="s">
        <v>19</v>
      </c>
      <c r="F1768" t="s">
        <v>23</v>
      </c>
      <c r="G1768">
        <v>52</v>
      </c>
      <c r="H1768" s="13">
        <v>51218</v>
      </c>
      <c r="I1768" s="13">
        <v>20710</v>
      </c>
      <c r="J1768" t="s">
        <v>26</v>
      </c>
      <c r="K1768" s="13">
        <f>HR_Data[[#This Row],[Salary]]+HR_Data[[#This Row],[Bonus]]</f>
        <v>71928</v>
      </c>
    </row>
    <row r="1769" spans="1:11" x14ac:dyDescent="0.25">
      <c r="A1769">
        <v>2768</v>
      </c>
      <c r="B1769" t="s">
        <v>1809</v>
      </c>
      <c r="C1769" t="s">
        <v>11</v>
      </c>
      <c r="D1769" t="s">
        <v>15</v>
      </c>
      <c r="E1769" t="s">
        <v>18</v>
      </c>
      <c r="F1769" t="s">
        <v>22</v>
      </c>
      <c r="G1769">
        <v>33</v>
      </c>
      <c r="H1769" s="13">
        <v>64472</v>
      </c>
      <c r="I1769" s="13">
        <v>19434</v>
      </c>
      <c r="J1769" t="s">
        <v>25</v>
      </c>
      <c r="K1769" s="13">
        <f>HR_Data[[#This Row],[Salary]]+HR_Data[[#This Row],[Bonus]]</f>
        <v>83906</v>
      </c>
    </row>
    <row r="1770" spans="1:11" x14ac:dyDescent="0.25">
      <c r="A1770">
        <v>2769</v>
      </c>
      <c r="B1770" t="s">
        <v>1810</v>
      </c>
      <c r="C1770" t="s">
        <v>9</v>
      </c>
      <c r="D1770" t="s">
        <v>14</v>
      </c>
      <c r="E1770" t="s">
        <v>20</v>
      </c>
      <c r="F1770" t="s">
        <v>21</v>
      </c>
      <c r="G1770">
        <v>38</v>
      </c>
      <c r="H1770" s="13">
        <v>111916</v>
      </c>
      <c r="I1770" s="13">
        <v>18478</v>
      </c>
      <c r="J1770" t="s">
        <v>26</v>
      </c>
      <c r="K1770" s="13">
        <f>HR_Data[[#This Row],[Salary]]+HR_Data[[#This Row],[Bonus]]</f>
        <v>130394</v>
      </c>
    </row>
    <row r="1771" spans="1:11" x14ac:dyDescent="0.25">
      <c r="A1771">
        <v>2770</v>
      </c>
      <c r="B1771" t="s">
        <v>1811</v>
      </c>
      <c r="C1771" t="s">
        <v>12</v>
      </c>
      <c r="D1771" t="s">
        <v>14</v>
      </c>
      <c r="E1771" t="s">
        <v>20</v>
      </c>
      <c r="F1771" t="s">
        <v>21</v>
      </c>
      <c r="G1771">
        <v>36</v>
      </c>
      <c r="H1771" s="13">
        <v>40566</v>
      </c>
      <c r="I1771" s="13">
        <v>8881</v>
      </c>
      <c r="J1771" t="s">
        <v>25</v>
      </c>
      <c r="K1771" s="13">
        <f>HR_Data[[#This Row],[Salary]]+HR_Data[[#This Row],[Bonus]]</f>
        <v>49447</v>
      </c>
    </row>
    <row r="1772" spans="1:11" x14ac:dyDescent="0.25">
      <c r="A1772">
        <v>2771</v>
      </c>
      <c r="B1772" t="s">
        <v>1812</v>
      </c>
      <c r="C1772" t="s">
        <v>12</v>
      </c>
      <c r="D1772" t="s">
        <v>15</v>
      </c>
      <c r="E1772" t="s">
        <v>17</v>
      </c>
      <c r="F1772" t="s">
        <v>22</v>
      </c>
      <c r="G1772">
        <v>30</v>
      </c>
      <c r="H1772" s="13">
        <v>76125</v>
      </c>
      <c r="I1772" s="13">
        <v>25293</v>
      </c>
      <c r="J1772" t="s">
        <v>26</v>
      </c>
      <c r="K1772" s="13">
        <f>HR_Data[[#This Row],[Salary]]+HR_Data[[#This Row],[Bonus]]</f>
        <v>101418</v>
      </c>
    </row>
    <row r="1773" spans="1:11" x14ac:dyDescent="0.25">
      <c r="A1773">
        <v>2772</v>
      </c>
      <c r="B1773" t="s">
        <v>1813</v>
      </c>
      <c r="C1773" t="s">
        <v>12</v>
      </c>
      <c r="D1773" t="s">
        <v>14</v>
      </c>
      <c r="E1773" t="s">
        <v>20</v>
      </c>
      <c r="F1773" t="s">
        <v>22</v>
      </c>
      <c r="G1773">
        <v>33</v>
      </c>
      <c r="H1773" s="13">
        <v>53205</v>
      </c>
      <c r="I1773" s="13">
        <v>6999</v>
      </c>
      <c r="J1773" t="s">
        <v>25</v>
      </c>
      <c r="K1773" s="13">
        <f>HR_Data[[#This Row],[Salary]]+HR_Data[[#This Row],[Bonus]]</f>
        <v>60204</v>
      </c>
    </row>
    <row r="1774" spans="1:11" x14ac:dyDescent="0.25">
      <c r="A1774">
        <v>2773</v>
      </c>
      <c r="B1774" t="s">
        <v>1814</v>
      </c>
      <c r="C1774" t="s">
        <v>10</v>
      </c>
      <c r="D1774" t="s">
        <v>14</v>
      </c>
      <c r="E1774" t="s">
        <v>18</v>
      </c>
      <c r="F1774" t="s">
        <v>22</v>
      </c>
      <c r="G1774">
        <v>53</v>
      </c>
      <c r="H1774" s="13">
        <v>49717</v>
      </c>
      <c r="I1774" s="13">
        <v>19849</v>
      </c>
      <c r="J1774" t="s">
        <v>25</v>
      </c>
      <c r="K1774" s="13">
        <f>HR_Data[[#This Row],[Salary]]+HR_Data[[#This Row],[Bonus]]</f>
        <v>69566</v>
      </c>
    </row>
    <row r="1775" spans="1:11" x14ac:dyDescent="0.25">
      <c r="A1775">
        <v>2774</v>
      </c>
      <c r="B1775" t="s">
        <v>1815</v>
      </c>
      <c r="C1775" t="s">
        <v>8</v>
      </c>
      <c r="D1775" t="s">
        <v>15</v>
      </c>
      <c r="E1775" t="s">
        <v>20</v>
      </c>
      <c r="F1775" t="s">
        <v>23</v>
      </c>
      <c r="G1775">
        <v>46</v>
      </c>
      <c r="H1775" s="13">
        <v>69984</v>
      </c>
      <c r="I1775" s="13">
        <v>15903</v>
      </c>
      <c r="J1775" t="s">
        <v>26</v>
      </c>
      <c r="K1775" s="13">
        <f>HR_Data[[#This Row],[Salary]]+HR_Data[[#This Row],[Bonus]]</f>
        <v>85887</v>
      </c>
    </row>
    <row r="1776" spans="1:11" x14ac:dyDescent="0.25">
      <c r="A1776">
        <v>2775</v>
      </c>
      <c r="B1776" t="s">
        <v>1816</v>
      </c>
      <c r="C1776" t="s">
        <v>2042</v>
      </c>
      <c r="D1776" t="s">
        <v>14</v>
      </c>
      <c r="E1776" t="s">
        <v>16</v>
      </c>
      <c r="F1776" t="s">
        <v>21</v>
      </c>
      <c r="G1776">
        <v>39</v>
      </c>
      <c r="H1776" s="13">
        <v>45135</v>
      </c>
      <c r="I1776" s="13">
        <v>21784</v>
      </c>
      <c r="J1776" t="s">
        <v>25</v>
      </c>
      <c r="K1776" s="13">
        <f>HR_Data[[#This Row],[Salary]]+HR_Data[[#This Row],[Bonus]]</f>
        <v>66919</v>
      </c>
    </row>
    <row r="1777" spans="1:11" x14ac:dyDescent="0.25">
      <c r="A1777">
        <v>2776</v>
      </c>
      <c r="B1777" t="s">
        <v>1817</v>
      </c>
      <c r="C1777" t="s">
        <v>9</v>
      </c>
      <c r="D1777" t="s">
        <v>14</v>
      </c>
      <c r="E1777" t="s">
        <v>20</v>
      </c>
      <c r="F1777" t="s">
        <v>22</v>
      </c>
      <c r="G1777">
        <v>36</v>
      </c>
      <c r="H1777" s="13">
        <v>48164</v>
      </c>
      <c r="I1777" s="13">
        <v>19700</v>
      </c>
      <c r="J1777" t="s">
        <v>25</v>
      </c>
      <c r="K1777" s="13">
        <f>HR_Data[[#This Row],[Salary]]+HR_Data[[#This Row],[Bonus]]</f>
        <v>67864</v>
      </c>
    </row>
    <row r="1778" spans="1:11" x14ac:dyDescent="0.25">
      <c r="A1778">
        <v>2777</v>
      </c>
      <c r="B1778" t="s">
        <v>1818</v>
      </c>
      <c r="C1778" t="s">
        <v>11</v>
      </c>
      <c r="D1778" t="s">
        <v>15</v>
      </c>
      <c r="E1778" t="s">
        <v>19</v>
      </c>
      <c r="F1778" t="s">
        <v>23</v>
      </c>
      <c r="G1778">
        <v>53</v>
      </c>
      <c r="H1778" s="13">
        <v>94489</v>
      </c>
      <c r="I1778" s="13">
        <v>25032</v>
      </c>
      <c r="J1778" t="s">
        <v>26</v>
      </c>
      <c r="K1778" s="13">
        <f>HR_Data[[#This Row],[Salary]]+HR_Data[[#This Row],[Bonus]]</f>
        <v>119521</v>
      </c>
    </row>
    <row r="1779" spans="1:11" x14ac:dyDescent="0.25">
      <c r="A1779">
        <v>2778</v>
      </c>
      <c r="B1779" t="s">
        <v>1819</v>
      </c>
      <c r="C1779" t="s">
        <v>9</v>
      </c>
      <c r="D1779" t="s">
        <v>15</v>
      </c>
      <c r="E1779" t="s">
        <v>16</v>
      </c>
      <c r="F1779" t="s">
        <v>22</v>
      </c>
      <c r="G1779">
        <v>27</v>
      </c>
      <c r="H1779" s="13">
        <v>58562</v>
      </c>
      <c r="I1779" s="13">
        <v>10445</v>
      </c>
      <c r="J1779" t="s">
        <v>26</v>
      </c>
      <c r="K1779" s="13">
        <f>HR_Data[[#This Row],[Salary]]+HR_Data[[#This Row],[Bonus]]</f>
        <v>69007</v>
      </c>
    </row>
    <row r="1780" spans="1:11" x14ac:dyDescent="0.25">
      <c r="A1780">
        <v>2779</v>
      </c>
      <c r="B1780" t="s">
        <v>1820</v>
      </c>
      <c r="C1780" t="s">
        <v>11</v>
      </c>
      <c r="D1780" t="s">
        <v>14</v>
      </c>
      <c r="E1780" t="s">
        <v>17</v>
      </c>
      <c r="F1780" t="s">
        <v>24</v>
      </c>
      <c r="G1780">
        <v>56</v>
      </c>
      <c r="H1780" s="13">
        <v>89110</v>
      </c>
      <c r="I1780" s="13">
        <v>7628</v>
      </c>
      <c r="J1780" t="s">
        <v>25</v>
      </c>
      <c r="K1780" s="13">
        <f>HR_Data[[#This Row],[Salary]]+HR_Data[[#This Row],[Bonus]]</f>
        <v>96738</v>
      </c>
    </row>
    <row r="1781" spans="1:11" x14ac:dyDescent="0.25">
      <c r="A1781">
        <v>2780</v>
      </c>
      <c r="B1781" t="s">
        <v>1821</v>
      </c>
      <c r="C1781" t="s">
        <v>10</v>
      </c>
      <c r="D1781" t="s">
        <v>14</v>
      </c>
      <c r="E1781" t="s">
        <v>19</v>
      </c>
      <c r="F1781" t="s">
        <v>24</v>
      </c>
      <c r="G1781">
        <v>55</v>
      </c>
      <c r="H1781" s="13">
        <v>40169</v>
      </c>
      <c r="I1781" s="13">
        <v>23040</v>
      </c>
      <c r="J1781" t="s">
        <v>26</v>
      </c>
      <c r="K1781" s="13">
        <f>HR_Data[[#This Row],[Salary]]+HR_Data[[#This Row],[Bonus]]</f>
        <v>63209</v>
      </c>
    </row>
    <row r="1782" spans="1:11" x14ac:dyDescent="0.25">
      <c r="A1782">
        <v>2781</v>
      </c>
      <c r="B1782" t="s">
        <v>1822</v>
      </c>
      <c r="C1782" t="s">
        <v>12</v>
      </c>
      <c r="D1782" t="s">
        <v>15</v>
      </c>
      <c r="E1782" t="s">
        <v>18</v>
      </c>
      <c r="F1782" t="s">
        <v>21</v>
      </c>
      <c r="G1782">
        <v>59</v>
      </c>
      <c r="H1782" s="13">
        <v>79858</v>
      </c>
      <c r="I1782" s="13">
        <v>22004</v>
      </c>
      <c r="J1782" t="s">
        <v>26</v>
      </c>
      <c r="K1782" s="13">
        <f>HR_Data[[#This Row],[Salary]]+HR_Data[[#This Row],[Bonus]]</f>
        <v>101862</v>
      </c>
    </row>
    <row r="1783" spans="1:11" x14ac:dyDescent="0.25">
      <c r="A1783">
        <v>2782</v>
      </c>
      <c r="B1783" t="s">
        <v>1823</v>
      </c>
      <c r="C1783" t="s">
        <v>10</v>
      </c>
      <c r="D1783" t="s">
        <v>14</v>
      </c>
      <c r="E1783" t="s">
        <v>18</v>
      </c>
      <c r="F1783" t="s">
        <v>23</v>
      </c>
      <c r="G1783">
        <v>26</v>
      </c>
      <c r="H1783" s="13">
        <v>41604</v>
      </c>
      <c r="I1783" s="13">
        <v>5246</v>
      </c>
      <c r="J1783" t="s">
        <v>25</v>
      </c>
      <c r="K1783" s="13">
        <f>HR_Data[[#This Row],[Salary]]+HR_Data[[#This Row],[Bonus]]</f>
        <v>46850</v>
      </c>
    </row>
    <row r="1784" spans="1:11" x14ac:dyDescent="0.25">
      <c r="A1784">
        <v>2783</v>
      </c>
      <c r="B1784" t="s">
        <v>1824</v>
      </c>
      <c r="C1784" t="s">
        <v>8</v>
      </c>
      <c r="D1784" t="s">
        <v>14</v>
      </c>
      <c r="E1784" t="s">
        <v>18</v>
      </c>
      <c r="F1784" t="s">
        <v>24</v>
      </c>
      <c r="G1784">
        <v>39</v>
      </c>
      <c r="H1784" s="13">
        <v>109670</v>
      </c>
      <c r="I1784" s="13">
        <v>10212</v>
      </c>
      <c r="J1784" t="s">
        <v>25</v>
      </c>
      <c r="K1784" s="13">
        <f>HR_Data[[#This Row],[Salary]]+HR_Data[[#This Row],[Bonus]]</f>
        <v>119882</v>
      </c>
    </row>
    <row r="1785" spans="1:11" x14ac:dyDescent="0.25">
      <c r="A1785">
        <v>2784</v>
      </c>
      <c r="B1785" t="s">
        <v>1825</v>
      </c>
      <c r="C1785" t="s">
        <v>8</v>
      </c>
      <c r="D1785" t="s">
        <v>14</v>
      </c>
      <c r="E1785" t="s">
        <v>19</v>
      </c>
      <c r="F1785" t="s">
        <v>24</v>
      </c>
      <c r="G1785">
        <v>37</v>
      </c>
      <c r="H1785" s="13">
        <v>108738</v>
      </c>
      <c r="I1785" s="13">
        <v>8339</v>
      </c>
      <c r="J1785" t="s">
        <v>25</v>
      </c>
      <c r="K1785" s="13">
        <f>HR_Data[[#This Row],[Salary]]+HR_Data[[#This Row],[Bonus]]</f>
        <v>117077</v>
      </c>
    </row>
    <row r="1786" spans="1:11" x14ac:dyDescent="0.25">
      <c r="A1786">
        <v>2785</v>
      </c>
      <c r="B1786" t="s">
        <v>1826</v>
      </c>
      <c r="C1786" t="s">
        <v>11</v>
      </c>
      <c r="D1786" t="s">
        <v>15</v>
      </c>
      <c r="E1786" t="s">
        <v>19</v>
      </c>
      <c r="F1786" t="s">
        <v>23</v>
      </c>
      <c r="G1786">
        <v>29</v>
      </c>
      <c r="H1786" s="13">
        <v>20684</v>
      </c>
      <c r="I1786" s="13">
        <v>28142</v>
      </c>
      <c r="J1786" t="s">
        <v>26</v>
      </c>
      <c r="K1786" s="13">
        <f>HR_Data[[#This Row],[Salary]]+HR_Data[[#This Row],[Bonus]]</f>
        <v>48826</v>
      </c>
    </row>
    <row r="1787" spans="1:11" x14ac:dyDescent="0.25">
      <c r="A1787">
        <v>2786</v>
      </c>
      <c r="B1787" t="s">
        <v>1827</v>
      </c>
      <c r="C1787" t="s">
        <v>2042</v>
      </c>
      <c r="D1787" t="s">
        <v>14</v>
      </c>
      <c r="E1787" t="s">
        <v>19</v>
      </c>
      <c r="F1787" t="s">
        <v>22</v>
      </c>
      <c r="G1787">
        <v>46</v>
      </c>
      <c r="H1787" s="13">
        <v>28007</v>
      </c>
      <c r="I1787" s="13">
        <v>28470</v>
      </c>
      <c r="J1787" t="s">
        <v>25</v>
      </c>
      <c r="K1787" s="13">
        <f>HR_Data[[#This Row],[Salary]]+HR_Data[[#This Row],[Bonus]]</f>
        <v>56477</v>
      </c>
    </row>
    <row r="1788" spans="1:11" x14ac:dyDescent="0.25">
      <c r="A1788">
        <v>2787</v>
      </c>
      <c r="B1788" t="s">
        <v>1828</v>
      </c>
      <c r="C1788" t="s">
        <v>2042</v>
      </c>
      <c r="D1788" t="s">
        <v>14</v>
      </c>
      <c r="E1788" t="s">
        <v>16</v>
      </c>
      <c r="F1788" t="s">
        <v>23</v>
      </c>
      <c r="G1788">
        <v>53</v>
      </c>
      <c r="H1788" s="13">
        <v>69554.53</v>
      </c>
      <c r="I1788" s="13">
        <v>24394</v>
      </c>
      <c r="J1788" t="s">
        <v>25</v>
      </c>
      <c r="K1788" s="13">
        <f>HR_Data[[#This Row],[Salary]]+HR_Data[[#This Row],[Bonus]]</f>
        <v>93948.53</v>
      </c>
    </row>
    <row r="1789" spans="1:11" x14ac:dyDescent="0.25">
      <c r="A1789">
        <v>2788</v>
      </c>
      <c r="B1789" t="s">
        <v>1829</v>
      </c>
      <c r="C1789" t="s">
        <v>11</v>
      </c>
      <c r="D1789" t="s">
        <v>15</v>
      </c>
      <c r="E1789" t="s">
        <v>16</v>
      </c>
      <c r="F1789" t="s">
        <v>22</v>
      </c>
      <c r="G1789">
        <v>47</v>
      </c>
      <c r="H1789" s="13">
        <v>69582</v>
      </c>
      <c r="I1789" s="13">
        <v>26103</v>
      </c>
      <c r="J1789" t="s">
        <v>25</v>
      </c>
      <c r="K1789" s="13">
        <f>HR_Data[[#This Row],[Salary]]+HR_Data[[#This Row],[Bonus]]</f>
        <v>95685</v>
      </c>
    </row>
    <row r="1790" spans="1:11" x14ac:dyDescent="0.25">
      <c r="A1790">
        <v>2789</v>
      </c>
      <c r="B1790" t="s">
        <v>1830</v>
      </c>
      <c r="C1790" t="s">
        <v>8</v>
      </c>
      <c r="D1790" t="s">
        <v>14</v>
      </c>
      <c r="E1790" t="s">
        <v>18</v>
      </c>
      <c r="F1790" t="s">
        <v>24</v>
      </c>
      <c r="G1790">
        <v>43</v>
      </c>
      <c r="H1790" s="13">
        <v>94791</v>
      </c>
      <c r="I1790" s="13">
        <v>7368</v>
      </c>
      <c r="J1790" t="s">
        <v>26</v>
      </c>
      <c r="K1790" s="13">
        <f>HR_Data[[#This Row],[Salary]]+HR_Data[[#This Row],[Bonus]]</f>
        <v>102159</v>
      </c>
    </row>
    <row r="1791" spans="1:11" x14ac:dyDescent="0.25">
      <c r="A1791">
        <v>2790</v>
      </c>
      <c r="B1791" t="s">
        <v>1831</v>
      </c>
      <c r="C1791" t="s">
        <v>8</v>
      </c>
      <c r="D1791" t="s">
        <v>14</v>
      </c>
      <c r="E1791" t="s">
        <v>20</v>
      </c>
      <c r="F1791" t="s">
        <v>24</v>
      </c>
      <c r="G1791">
        <v>52</v>
      </c>
      <c r="H1791" s="13">
        <v>117798</v>
      </c>
      <c r="I1791" s="13">
        <v>17186</v>
      </c>
      <c r="J1791" t="s">
        <v>25</v>
      </c>
      <c r="K1791" s="13">
        <f>HR_Data[[#This Row],[Salary]]+HR_Data[[#This Row],[Bonus]]</f>
        <v>134984</v>
      </c>
    </row>
    <row r="1792" spans="1:11" x14ac:dyDescent="0.25">
      <c r="A1792">
        <v>2791</v>
      </c>
      <c r="B1792" t="s">
        <v>1832</v>
      </c>
      <c r="C1792" t="s">
        <v>8</v>
      </c>
      <c r="D1792" t="s">
        <v>15</v>
      </c>
      <c r="E1792" t="s">
        <v>18</v>
      </c>
      <c r="F1792" t="s">
        <v>24</v>
      </c>
      <c r="G1792">
        <v>31</v>
      </c>
      <c r="H1792" s="13">
        <v>103629</v>
      </c>
      <c r="I1792" s="13">
        <v>6839</v>
      </c>
      <c r="J1792" t="s">
        <v>25</v>
      </c>
      <c r="K1792" s="13">
        <f>HR_Data[[#This Row],[Salary]]+HR_Data[[#This Row],[Bonus]]</f>
        <v>110468</v>
      </c>
    </row>
    <row r="1793" spans="1:11" x14ac:dyDescent="0.25">
      <c r="A1793">
        <v>2792</v>
      </c>
      <c r="B1793" t="s">
        <v>1833</v>
      </c>
      <c r="C1793" t="s">
        <v>10</v>
      </c>
      <c r="D1793" t="s">
        <v>15</v>
      </c>
      <c r="E1793" t="s">
        <v>17</v>
      </c>
      <c r="F1793" t="s">
        <v>21</v>
      </c>
      <c r="G1793">
        <v>33</v>
      </c>
      <c r="H1793" s="13">
        <v>25782</v>
      </c>
      <c r="I1793" s="13">
        <v>24287</v>
      </c>
      <c r="J1793" t="s">
        <v>25</v>
      </c>
      <c r="K1793" s="13">
        <f>HR_Data[[#This Row],[Salary]]+HR_Data[[#This Row],[Bonus]]</f>
        <v>50069</v>
      </c>
    </row>
    <row r="1794" spans="1:11" x14ac:dyDescent="0.25">
      <c r="A1794">
        <v>2793</v>
      </c>
      <c r="B1794" t="s">
        <v>1834</v>
      </c>
      <c r="C1794" t="s">
        <v>8</v>
      </c>
      <c r="D1794" t="s">
        <v>15</v>
      </c>
      <c r="E1794" t="s">
        <v>16</v>
      </c>
      <c r="F1794" t="s">
        <v>21</v>
      </c>
      <c r="G1794">
        <v>49</v>
      </c>
      <c r="H1794" s="13">
        <v>86770</v>
      </c>
      <c r="I1794" s="13">
        <v>11205</v>
      </c>
      <c r="J1794" t="s">
        <v>25</v>
      </c>
      <c r="K1794" s="13">
        <f>HR_Data[[#This Row],[Salary]]+HR_Data[[#This Row],[Bonus]]</f>
        <v>97975</v>
      </c>
    </row>
    <row r="1795" spans="1:11" x14ac:dyDescent="0.25">
      <c r="A1795">
        <v>2794</v>
      </c>
      <c r="B1795" t="s">
        <v>1835</v>
      </c>
      <c r="C1795" t="s">
        <v>9</v>
      </c>
      <c r="D1795" t="s">
        <v>15</v>
      </c>
      <c r="E1795" t="s">
        <v>19</v>
      </c>
      <c r="F1795" t="s">
        <v>21</v>
      </c>
      <c r="G1795">
        <v>27</v>
      </c>
      <c r="H1795" s="13">
        <v>77645</v>
      </c>
      <c r="I1795" s="13">
        <v>9395</v>
      </c>
      <c r="J1795" t="s">
        <v>25</v>
      </c>
      <c r="K1795" s="13">
        <f>HR_Data[[#This Row],[Salary]]+HR_Data[[#This Row],[Bonus]]</f>
        <v>87040</v>
      </c>
    </row>
    <row r="1796" spans="1:11" x14ac:dyDescent="0.25">
      <c r="A1796">
        <v>2795</v>
      </c>
      <c r="B1796" t="s">
        <v>1836</v>
      </c>
      <c r="C1796" t="s">
        <v>12</v>
      </c>
      <c r="D1796" t="s">
        <v>14</v>
      </c>
      <c r="E1796" t="s">
        <v>16</v>
      </c>
      <c r="F1796" t="s">
        <v>23</v>
      </c>
      <c r="G1796">
        <v>41</v>
      </c>
      <c r="H1796" s="13">
        <v>119724</v>
      </c>
      <c r="I1796" s="13">
        <v>20290</v>
      </c>
      <c r="J1796" t="s">
        <v>26</v>
      </c>
      <c r="K1796" s="13">
        <f>HR_Data[[#This Row],[Salary]]+HR_Data[[#This Row],[Bonus]]</f>
        <v>140014</v>
      </c>
    </row>
    <row r="1797" spans="1:11" x14ac:dyDescent="0.25">
      <c r="A1797">
        <v>2796</v>
      </c>
      <c r="B1797" t="s">
        <v>1837</v>
      </c>
      <c r="C1797" t="s">
        <v>8</v>
      </c>
      <c r="D1797" t="s">
        <v>14</v>
      </c>
      <c r="E1797" t="s">
        <v>19</v>
      </c>
      <c r="F1797" t="s">
        <v>24</v>
      </c>
      <c r="G1797">
        <v>26</v>
      </c>
      <c r="H1797" s="13">
        <v>51996</v>
      </c>
      <c r="I1797" s="13">
        <v>27151</v>
      </c>
      <c r="J1797" t="s">
        <v>25</v>
      </c>
      <c r="K1797" s="13">
        <f>HR_Data[[#This Row],[Salary]]+HR_Data[[#This Row],[Bonus]]</f>
        <v>79147</v>
      </c>
    </row>
    <row r="1798" spans="1:11" x14ac:dyDescent="0.25">
      <c r="A1798">
        <v>2797</v>
      </c>
      <c r="B1798" t="s">
        <v>1838</v>
      </c>
      <c r="C1798" t="s">
        <v>11</v>
      </c>
      <c r="D1798" t="s">
        <v>15</v>
      </c>
      <c r="E1798" t="s">
        <v>17</v>
      </c>
      <c r="F1798" t="s">
        <v>24</v>
      </c>
      <c r="G1798">
        <v>44</v>
      </c>
      <c r="H1798" s="13">
        <v>49204</v>
      </c>
      <c r="I1798" s="13">
        <v>8691</v>
      </c>
      <c r="J1798" t="s">
        <v>25</v>
      </c>
      <c r="K1798" s="13">
        <f>HR_Data[[#This Row],[Salary]]+HR_Data[[#This Row],[Bonus]]</f>
        <v>57895</v>
      </c>
    </row>
    <row r="1799" spans="1:11" x14ac:dyDescent="0.25">
      <c r="A1799">
        <v>2798</v>
      </c>
      <c r="B1799" t="s">
        <v>1839</v>
      </c>
      <c r="C1799" t="s">
        <v>12</v>
      </c>
      <c r="D1799" t="s">
        <v>15</v>
      </c>
      <c r="E1799" t="s">
        <v>17</v>
      </c>
      <c r="F1799" t="s">
        <v>23</v>
      </c>
      <c r="G1799">
        <v>30</v>
      </c>
      <c r="H1799" s="13">
        <v>37152</v>
      </c>
      <c r="I1799" s="13">
        <v>12470</v>
      </c>
      <c r="J1799" t="s">
        <v>25</v>
      </c>
      <c r="K1799" s="13">
        <f>HR_Data[[#This Row],[Salary]]+HR_Data[[#This Row],[Bonus]]</f>
        <v>49622</v>
      </c>
    </row>
    <row r="1800" spans="1:11" x14ac:dyDescent="0.25">
      <c r="A1800">
        <v>2799</v>
      </c>
      <c r="B1800" t="s">
        <v>1840</v>
      </c>
      <c r="C1800" t="s">
        <v>10</v>
      </c>
      <c r="D1800" t="s">
        <v>14</v>
      </c>
      <c r="E1800" t="s">
        <v>16</v>
      </c>
      <c r="F1800" t="s">
        <v>21</v>
      </c>
      <c r="G1800">
        <v>50</v>
      </c>
      <c r="H1800" s="13">
        <v>75186</v>
      </c>
      <c r="I1800" s="13">
        <v>8841</v>
      </c>
      <c r="J1800" t="s">
        <v>25</v>
      </c>
      <c r="K1800" s="13">
        <f>HR_Data[[#This Row],[Salary]]+HR_Data[[#This Row],[Bonus]]</f>
        <v>84027</v>
      </c>
    </row>
    <row r="1801" spans="1:11" x14ac:dyDescent="0.25">
      <c r="A1801">
        <v>2800</v>
      </c>
      <c r="B1801" t="s">
        <v>1841</v>
      </c>
      <c r="C1801" t="s">
        <v>11</v>
      </c>
      <c r="D1801" t="s">
        <v>15</v>
      </c>
      <c r="E1801" t="s">
        <v>19</v>
      </c>
      <c r="F1801" t="s">
        <v>23</v>
      </c>
      <c r="G1801">
        <v>37</v>
      </c>
      <c r="H1801" s="13">
        <v>110555</v>
      </c>
      <c r="I1801" s="13">
        <v>9348</v>
      </c>
      <c r="J1801" t="s">
        <v>26</v>
      </c>
      <c r="K1801" s="13">
        <f>HR_Data[[#This Row],[Salary]]+HR_Data[[#This Row],[Bonus]]</f>
        <v>119903</v>
      </c>
    </row>
    <row r="1802" spans="1:11" x14ac:dyDescent="0.25">
      <c r="A1802">
        <v>2801</v>
      </c>
      <c r="B1802" t="s">
        <v>1842</v>
      </c>
      <c r="C1802" t="s">
        <v>12</v>
      </c>
      <c r="D1802" t="s">
        <v>14</v>
      </c>
      <c r="E1802" t="s">
        <v>17</v>
      </c>
      <c r="F1802" t="s">
        <v>21</v>
      </c>
      <c r="G1802">
        <v>43</v>
      </c>
      <c r="H1802" s="13">
        <v>105024</v>
      </c>
      <c r="I1802" s="13">
        <v>28005</v>
      </c>
      <c r="J1802" t="s">
        <v>25</v>
      </c>
      <c r="K1802" s="13">
        <f>HR_Data[[#This Row],[Salary]]+HR_Data[[#This Row],[Bonus]]</f>
        <v>133029</v>
      </c>
    </row>
    <row r="1803" spans="1:11" x14ac:dyDescent="0.25">
      <c r="A1803">
        <v>2802</v>
      </c>
      <c r="B1803" t="s">
        <v>1843</v>
      </c>
      <c r="C1803" t="s">
        <v>11</v>
      </c>
      <c r="D1803" t="s">
        <v>15</v>
      </c>
      <c r="E1803" t="s">
        <v>18</v>
      </c>
      <c r="F1803" t="s">
        <v>24</v>
      </c>
      <c r="G1803">
        <v>29</v>
      </c>
      <c r="H1803" s="13">
        <v>39689</v>
      </c>
      <c r="I1803" s="13">
        <v>22776</v>
      </c>
      <c r="J1803" t="s">
        <v>25</v>
      </c>
      <c r="K1803" s="13">
        <f>HR_Data[[#This Row],[Salary]]+HR_Data[[#This Row],[Bonus]]</f>
        <v>62465</v>
      </c>
    </row>
    <row r="1804" spans="1:11" x14ac:dyDescent="0.25">
      <c r="A1804">
        <v>2803</v>
      </c>
      <c r="B1804" t="s">
        <v>1844</v>
      </c>
      <c r="C1804" t="s">
        <v>10</v>
      </c>
      <c r="D1804" t="s">
        <v>14</v>
      </c>
      <c r="E1804" t="s">
        <v>18</v>
      </c>
      <c r="F1804" t="s">
        <v>22</v>
      </c>
      <c r="G1804">
        <v>41</v>
      </c>
      <c r="H1804" s="13">
        <v>70690</v>
      </c>
      <c r="I1804" s="13">
        <v>11060</v>
      </c>
      <c r="J1804" t="s">
        <v>25</v>
      </c>
      <c r="K1804" s="13">
        <f>HR_Data[[#This Row],[Salary]]+HR_Data[[#This Row],[Bonus]]</f>
        <v>81750</v>
      </c>
    </row>
    <row r="1805" spans="1:11" x14ac:dyDescent="0.25">
      <c r="A1805">
        <v>2804</v>
      </c>
      <c r="B1805" t="s">
        <v>1845</v>
      </c>
      <c r="C1805" t="s">
        <v>9</v>
      </c>
      <c r="D1805" t="s">
        <v>15</v>
      </c>
      <c r="E1805" t="s">
        <v>19</v>
      </c>
      <c r="F1805" t="s">
        <v>21</v>
      </c>
      <c r="G1805">
        <v>35</v>
      </c>
      <c r="H1805" s="13">
        <v>114042</v>
      </c>
      <c r="I1805" s="13">
        <v>25639</v>
      </c>
      <c r="J1805" t="s">
        <v>25</v>
      </c>
      <c r="K1805" s="13">
        <f>HR_Data[[#This Row],[Salary]]+HR_Data[[#This Row],[Bonus]]</f>
        <v>139681</v>
      </c>
    </row>
    <row r="1806" spans="1:11" x14ac:dyDescent="0.25">
      <c r="A1806">
        <v>2805</v>
      </c>
      <c r="B1806" t="s">
        <v>1846</v>
      </c>
      <c r="C1806" t="s">
        <v>10</v>
      </c>
      <c r="D1806" t="s">
        <v>15</v>
      </c>
      <c r="E1806" t="s">
        <v>16</v>
      </c>
      <c r="F1806" t="s">
        <v>24</v>
      </c>
      <c r="G1806">
        <v>58</v>
      </c>
      <c r="H1806" s="13">
        <v>103251</v>
      </c>
      <c r="I1806" s="13">
        <v>20525</v>
      </c>
      <c r="J1806" t="s">
        <v>25</v>
      </c>
      <c r="K1806" s="13">
        <f>HR_Data[[#This Row],[Salary]]+HR_Data[[#This Row],[Bonus]]</f>
        <v>123776</v>
      </c>
    </row>
    <row r="1807" spans="1:11" x14ac:dyDescent="0.25">
      <c r="A1807">
        <v>2806</v>
      </c>
      <c r="B1807" t="s">
        <v>1847</v>
      </c>
      <c r="C1807" t="s">
        <v>10</v>
      </c>
      <c r="D1807" t="s">
        <v>14</v>
      </c>
      <c r="E1807" t="s">
        <v>17</v>
      </c>
      <c r="F1807" t="s">
        <v>24</v>
      </c>
      <c r="G1807">
        <v>55</v>
      </c>
      <c r="H1807" s="13">
        <v>77320</v>
      </c>
      <c r="I1807" s="13">
        <v>9300</v>
      </c>
      <c r="J1807" t="s">
        <v>26</v>
      </c>
      <c r="K1807" s="13">
        <f>HR_Data[[#This Row],[Salary]]+HR_Data[[#This Row],[Bonus]]</f>
        <v>86620</v>
      </c>
    </row>
    <row r="1808" spans="1:11" x14ac:dyDescent="0.25">
      <c r="A1808">
        <v>2807</v>
      </c>
      <c r="B1808" t="s">
        <v>1848</v>
      </c>
      <c r="C1808" t="s">
        <v>11</v>
      </c>
      <c r="D1808" t="s">
        <v>15</v>
      </c>
      <c r="E1808" t="s">
        <v>16</v>
      </c>
      <c r="F1808" t="s">
        <v>22</v>
      </c>
      <c r="G1808">
        <v>32</v>
      </c>
      <c r="H1808" s="13">
        <v>84226</v>
      </c>
      <c r="I1808" s="13">
        <v>8338</v>
      </c>
      <c r="J1808" t="s">
        <v>27</v>
      </c>
      <c r="K1808" s="13">
        <f>HR_Data[[#This Row],[Salary]]+HR_Data[[#This Row],[Bonus]]</f>
        <v>92564</v>
      </c>
    </row>
    <row r="1809" spans="1:11" x14ac:dyDescent="0.25">
      <c r="A1809">
        <v>2808</v>
      </c>
      <c r="B1809" t="s">
        <v>1849</v>
      </c>
      <c r="C1809" t="s">
        <v>2042</v>
      </c>
      <c r="D1809" t="s">
        <v>14</v>
      </c>
      <c r="E1809" t="s">
        <v>18</v>
      </c>
      <c r="F1809" t="s">
        <v>24</v>
      </c>
      <c r="G1809">
        <v>54</v>
      </c>
      <c r="H1809" s="13">
        <v>76091</v>
      </c>
      <c r="I1809" s="13">
        <v>10487</v>
      </c>
      <c r="J1809" t="s">
        <v>25</v>
      </c>
      <c r="K1809" s="13">
        <f>HR_Data[[#This Row],[Salary]]+HR_Data[[#This Row],[Bonus]]</f>
        <v>86578</v>
      </c>
    </row>
    <row r="1810" spans="1:11" x14ac:dyDescent="0.25">
      <c r="A1810">
        <v>2809</v>
      </c>
      <c r="B1810" t="s">
        <v>1850</v>
      </c>
      <c r="C1810" t="s">
        <v>8</v>
      </c>
      <c r="D1810" t="s">
        <v>14</v>
      </c>
      <c r="E1810" t="s">
        <v>17</v>
      </c>
      <c r="F1810" t="s">
        <v>24</v>
      </c>
      <c r="G1810">
        <v>52</v>
      </c>
      <c r="H1810" s="13">
        <v>99301</v>
      </c>
      <c r="I1810" s="13">
        <v>8514</v>
      </c>
      <c r="J1810" t="s">
        <v>27</v>
      </c>
      <c r="K1810" s="13">
        <f>HR_Data[[#This Row],[Salary]]+HR_Data[[#This Row],[Bonus]]</f>
        <v>107815</v>
      </c>
    </row>
    <row r="1811" spans="1:11" x14ac:dyDescent="0.25">
      <c r="A1811">
        <v>2810</v>
      </c>
      <c r="B1811" t="s">
        <v>1851</v>
      </c>
      <c r="C1811" t="s">
        <v>8</v>
      </c>
      <c r="D1811" t="s">
        <v>14</v>
      </c>
      <c r="E1811" t="s">
        <v>16</v>
      </c>
      <c r="F1811" t="s">
        <v>21</v>
      </c>
      <c r="G1811">
        <v>55</v>
      </c>
      <c r="H1811" s="13">
        <v>41942</v>
      </c>
      <c r="I1811" s="13">
        <v>22143</v>
      </c>
      <c r="J1811" t="s">
        <v>26</v>
      </c>
      <c r="K1811" s="13">
        <f>HR_Data[[#This Row],[Salary]]+HR_Data[[#This Row],[Bonus]]</f>
        <v>64085</v>
      </c>
    </row>
    <row r="1812" spans="1:11" x14ac:dyDescent="0.25">
      <c r="A1812">
        <v>2811</v>
      </c>
      <c r="B1812" t="s">
        <v>1852</v>
      </c>
      <c r="C1812" t="s">
        <v>9</v>
      </c>
      <c r="D1812" t="s">
        <v>14</v>
      </c>
      <c r="E1812" t="s">
        <v>20</v>
      </c>
      <c r="F1812" t="s">
        <v>21</v>
      </c>
      <c r="G1812">
        <v>28</v>
      </c>
      <c r="H1812" s="13">
        <v>58712</v>
      </c>
      <c r="I1812" s="13">
        <v>16280</v>
      </c>
      <c r="J1812" t="s">
        <v>25</v>
      </c>
      <c r="K1812" s="13">
        <f>HR_Data[[#This Row],[Salary]]+HR_Data[[#This Row],[Bonus]]</f>
        <v>74992</v>
      </c>
    </row>
    <row r="1813" spans="1:11" x14ac:dyDescent="0.25">
      <c r="A1813">
        <v>2812</v>
      </c>
      <c r="B1813" t="s">
        <v>1853</v>
      </c>
      <c r="C1813" t="s">
        <v>9</v>
      </c>
      <c r="D1813" t="s">
        <v>14</v>
      </c>
      <c r="E1813" t="s">
        <v>19</v>
      </c>
      <c r="F1813" t="s">
        <v>22</v>
      </c>
      <c r="G1813">
        <v>44</v>
      </c>
      <c r="H1813" s="13">
        <v>85277</v>
      </c>
      <c r="I1813" s="13">
        <v>15307</v>
      </c>
      <c r="J1813" t="s">
        <v>25</v>
      </c>
      <c r="K1813" s="13">
        <f>HR_Data[[#This Row],[Salary]]+HR_Data[[#This Row],[Bonus]]</f>
        <v>100584</v>
      </c>
    </row>
    <row r="1814" spans="1:11" x14ac:dyDescent="0.25">
      <c r="A1814">
        <v>2813</v>
      </c>
      <c r="B1814" t="s">
        <v>1854</v>
      </c>
      <c r="C1814" t="s">
        <v>8</v>
      </c>
      <c r="D1814" t="s">
        <v>15</v>
      </c>
      <c r="E1814" t="s">
        <v>19</v>
      </c>
      <c r="F1814" t="s">
        <v>22</v>
      </c>
      <c r="G1814">
        <v>28</v>
      </c>
      <c r="H1814" s="13">
        <v>69632</v>
      </c>
      <c r="I1814" s="13">
        <v>14915</v>
      </c>
      <c r="J1814" t="s">
        <v>26</v>
      </c>
      <c r="K1814" s="13">
        <f>HR_Data[[#This Row],[Salary]]+HR_Data[[#This Row],[Bonus]]</f>
        <v>84547</v>
      </c>
    </row>
    <row r="1815" spans="1:11" x14ac:dyDescent="0.25">
      <c r="A1815">
        <v>2814</v>
      </c>
      <c r="B1815" t="s">
        <v>1855</v>
      </c>
      <c r="C1815" t="s">
        <v>2042</v>
      </c>
      <c r="D1815" t="s">
        <v>15</v>
      </c>
      <c r="E1815" t="s">
        <v>20</v>
      </c>
      <c r="F1815" t="s">
        <v>24</v>
      </c>
      <c r="G1815">
        <v>46</v>
      </c>
      <c r="H1815" s="13">
        <v>58031</v>
      </c>
      <c r="I1815" s="13">
        <v>16158</v>
      </c>
      <c r="J1815" t="s">
        <v>25</v>
      </c>
      <c r="K1815" s="13">
        <f>HR_Data[[#This Row],[Salary]]+HR_Data[[#This Row],[Bonus]]</f>
        <v>74189</v>
      </c>
    </row>
    <row r="1816" spans="1:11" x14ac:dyDescent="0.25">
      <c r="A1816">
        <v>2815</v>
      </c>
      <c r="B1816" t="s">
        <v>1856</v>
      </c>
      <c r="C1816" t="s">
        <v>8</v>
      </c>
      <c r="D1816" t="s">
        <v>14</v>
      </c>
      <c r="E1816" t="s">
        <v>18</v>
      </c>
      <c r="F1816" t="s">
        <v>21</v>
      </c>
      <c r="G1816">
        <v>24</v>
      </c>
      <c r="H1816" s="13">
        <v>40478</v>
      </c>
      <c r="I1816" s="13">
        <v>13621</v>
      </c>
      <c r="J1816" t="s">
        <v>25</v>
      </c>
      <c r="K1816" s="13">
        <f>HR_Data[[#This Row],[Salary]]+HR_Data[[#This Row],[Bonus]]</f>
        <v>54099</v>
      </c>
    </row>
    <row r="1817" spans="1:11" x14ac:dyDescent="0.25">
      <c r="A1817">
        <v>2816</v>
      </c>
      <c r="B1817" t="s">
        <v>1857</v>
      </c>
      <c r="C1817" t="s">
        <v>2042</v>
      </c>
      <c r="D1817" t="s">
        <v>27</v>
      </c>
      <c r="E1817" t="s">
        <v>17</v>
      </c>
      <c r="F1817" t="s">
        <v>22</v>
      </c>
      <c r="G1817">
        <v>59</v>
      </c>
      <c r="H1817" s="13">
        <v>42551</v>
      </c>
      <c r="I1817" s="13">
        <v>15547</v>
      </c>
      <c r="J1817" t="s">
        <v>25</v>
      </c>
      <c r="K1817" s="13">
        <f>HR_Data[[#This Row],[Salary]]+HR_Data[[#This Row],[Bonus]]</f>
        <v>58098</v>
      </c>
    </row>
    <row r="1818" spans="1:11" x14ac:dyDescent="0.25">
      <c r="A1818">
        <v>2817</v>
      </c>
      <c r="B1818" t="s">
        <v>1858</v>
      </c>
      <c r="C1818" t="s">
        <v>9</v>
      </c>
      <c r="D1818" t="s">
        <v>14</v>
      </c>
      <c r="E1818" t="s">
        <v>19</v>
      </c>
      <c r="F1818" t="s">
        <v>22</v>
      </c>
      <c r="G1818">
        <v>41</v>
      </c>
      <c r="H1818" s="13">
        <v>68068</v>
      </c>
      <c r="I1818" s="13">
        <v>28177</v>
      </c>
      <c r="J1818" t="s">
        <v>25</v>
      </c>
      <c r="K1818" s="13">
        <f>HR_Data[[#This Row],[Salary]]+HR_Data[[#This Row],[Bonus]]</f>
        <v>96245</v>
      </c>
    </row>
    <row r="1819" spans="1:11" x14ac:dyDescent="0.25">
      <c r="A1819">
        <v>2818</v>
      </c>
      <c r="B1819" t="s">
        <v>1859</v>
      </c>
      <c r="C1819" t="s">
        <v>12</v>
      </c>
      <c r="D1819" t="s">
        <v>15</v>
      </c>
      <c r="E1819" t="s">
        <v>20</v>
      </c>
      <c r="F1819" t="s">
        <v>23</v>
      </c>
      <c r="G1819">
        <v>55</v>
      </c>
      <c r="H1819" s="13">
        <v>113608</v>
      </c>
      <c r="I1819" s="13">
        <v>18485</v>
      </c>
      <c r="J1819" t="s">
        <v>25</v>
      </c>
      <c r="K1819" s="13">
        <f>HR_Data[[#This Row],[Salary]]+HR_Data[[#This Row],[Bonus]]</f>
        <v>132093</v>
      </c>
    </row>
    <row r="1820" spans="1:11" x14ac:dyDescent="0.25">
      <c r="A1820">
        <v>2819</v>
      </c>
      <c r="B1820" t="s">
        <v>1860</v>
      </c>
      <c r="C1820" t="s">
        <v>11</v>
      </c>
      <c r="D1820" t="s">
        <v>15</v>
      </c>
      <c r="E1820" t="s">
        <v>20</v>
      </c>
      <c r="F1820" t="s">
        <v>22</v>
      </c>
      <c r="G1820">
        <v>51</v>
      </c>
      <c r="H1820" s="13">
        <v>55561</v>
      </c>
      <c r="I1820" s="13">
        <v>7459</v>
      </c>
      <c r="J1820" t="s">
        <v>25</v>
      </c>
      <c r="K1820" s="13">
        <f>HR_Data[[#This Row],[Salary]]+HR_Data[[#This Row],[Bonus]]</f>
        <v>63020</v>
      </c>
    </row>
    <row r="1821" spans="1:11" x14ac:dyDescent="0.25">
      <c r="A1821">
        <v>2820</v>
      </c>
      <c r="B1821" t="s">
        <v>1861</v>
      </c>
      <c r="C1821" t="s">
        <v>9</v>
      </c>
      <c r="D1821" t="s">
        <v>15</v>
      </c>
      <c r="E1821" t="s">
        <v>18</v>
      </c>
      <c r="F1821" t="s">
        <v>24</v>
      </c>
      <c r="G1821">
        <v>38</v>
      </c>
      <c r="H1821" s="13">
        <v>22892</v>
      </c>
      <c r="I1821" s="13">
        <v>10273</v>
      </c>
      <c r="J1821" t="s">
        <v>25</v>
      </c>
      <c r="K1821" s="13">
        <f>HR_Data[[#This Row],[Salary]]+HR_Data[[#This Row],[Bonus]]</f>
        <v>33165</v>
      </c>
    </row>
    <row r="1822" spans="1:11" x14ac:dyDescent="0.25">
      <c r="A1822">
        <v>2821</v>
      </c>
      <c r="B1822" t="s">
        <v>1862</v>
      </c>
      <c r="C1822" t="s">
        <v>9</v>
      </c>
      <c r="D1822" t="s">
        <v>15</v>
      </c>
      <c r="E1822" t="s">
        <v>18</v>
      </c>
      <c r="F1822" t="s">
        <v>21</v>
      </c>
      <c r="G1822">
        <v>31</v>
      </c>
      <c r="H1822" s="13">
        <v>119502</v>
      </c>
      <c r="I1822" s="13">
        <v>23102</v>
      </c>
      <c r="J1822" t="s">
        <v>25</v>
      </c>
      <c r="K1822" s="13">
        <f>HR_Data[[#This Row],[Salary]]+HR_Data[[#This Row],[Bonus]]</f>
        <v>142604</v>
      </c>
    </row>
    <row r="1823" spans="1:11" x14ac:dyDescent="0.25">
      <c r="A1823">
        <v>2822</v>
      </c>
      <c r="B1823" t="s">
        <v>1863</v>
      </c>
      <c r="C1823" t="s">
        <v>10</v>
      </c>
      <c r="D1823" t="s">
        <v>14</v>
      </c>
      <c r="E1823" t="s">
        <v>16</v>
      </c>
      <c r="F1823" t="s">
        <v>22</v>
      </c>
      <c r="G1823">
        <v>56</v>
      </c>
      <c r="H1823" s="13">
        <v>44395</v>
      </c>
      <c r="I1823" s="13">
        <v>14457</v>
      </c>
      <c r="J1823" t="s">
        <v>26</v>
      </c>
      <c r="K1823" s="13">
        <f>HR_Data[[#This Row],[Salary]]+HR_Data[[#This Row],[Bonus]]</f>
        <v>58852</v>
      </c>
    </row>
    <row r="1824" spans="1:11" x14ac:dyDescent="0.25">
      <c r="A1824">
        <v>2823</v>
      </c>
      <c r="B1824" t="s">
        <v>1864</v>
      </c>
      <c r="C1824" t="s">
        <v>10</v>
      </c>
      <c r="D1824" t="s">
        <v>14</v>
      </c>
      <c r="E1824" t="s">
        <v>19</v>
      </c>
      <c r="F1824" t="s">
        <v>23</v>
      </c>
      <c r="G1824">
        <v>41</v>
      </c>
      <c r="H1824" s="13">
        <v>38756</v>
      </c>
      <c r="I1824" s="13">
        <v>10423</v>
      </c>
      <c r="J1824" t="s">
        <v>25</v>
      </c>
      <c r="K1824" s="13">
        <f>HR_Data[[#This Row],[Salary]]+HR_Data[[#This Row],[Bonus]]</f>
        <v>49179</v>
      </c>
    </row>
    <row r="1825" spans="1:11" x14ac:dyDescent="0.25">
      <c r="A1825">
        <v>2824</v>
      </c>
      <c r="B1825" t="s">
        <v>1865</v>
      </c>
      <c r="C1825" t="s">
        <v>10</v>
      </c>
      <c r="D1825" t="s">
        <v>15</v>
      </c>
      <c r="E1825" t="s">
        <v>16</v>
      </c>
      <c r="F1825" t="s">
        <v>21</v>
      </c>
      <c r="G1825">
        <v>39</v>
      </c>
      <c r="H1825" s="13">
        <v>107710</v>
      </c>
      <c r="I1825" s="13">
        <v>22692</v>
      </c>
      <c r="J1825" t="s">
        <v>25</v>
      </c>
      <c r="K1825" s="13">
        <f>HR_Data[[#This Row],[Salary]]+HR_Data[[#This Row],[Bonus]]</f>
        <v>130402</v>
      </c>
    </row>
    <row r="1826" spans="1:11" x14ac:dyDescent="0.25">
      <c r="A1826">
        <v>2825</v>
      </c>
      <c r="B1826" t="s">
        <v>1866</v>
      </c>
      <c r="C1826" t="s">
        <v>11</v>
      </c>
      <c r="D1826" t="s">
        <v>15</v>
      </c>
      <c r="E1826" t="s">
        <v>20</v>
      </c>
      <c r="F1826" t="s">
        <v>22</v>
      </c>
      <c r="G1826">
        <v>48</v>
      </c>
      <c r="H1826" s="13">
        <v>54651</v>
      </c>
      <c r="I1826" s="13">
        <v>22434</v>
      </c>
      <c r="J1826" t="s">
        <v>25</v>
      </c>
      <c r="K1826" s="13">
        <f>HR_Data[[#This Row],[Salary]]+HR_Data[[#This Row],[Bonus]]</f>
        <v>77085</v>
      </c>
    </row>
    <row r="1827" spans="1:11" x14ac:dyDescent="0.25">
      <c r="A1827">
        <v>2826</v>
      </c>
      <c r="B1827" t="s">
        <v>1867</v>
      </c>
      <c r="C1827" t="s">
        <v>10</v>
      </c>
      <c r="D1827" t="s">
        <v>14</v>
      </c>
      <c r="E1827" t="s">
        <v>17</v>
      </c>
      <c r="F1827" t="s">
        <v>23</v>
      </c>
      <c r="G1827">
        <v>57</v>
      </c>
      <c r="H1827" s="13">
        <v>86333</v>
      </c>
      <c r="I1827" s="13">
        <v>10479</v>
      </c>
      <c r="J1827" t="s">
        <v>26</v>
      </c>
      <c r="K1827" s="13">
        <f>HR_Data[[#This Row],[Salary]]+HR_Data[[#This Row],[Bonus]]</f>
        <v>96812</v>
      </c>
    </row>
    <row r="1828" spans="1:11" x14ac:dyDescent="0.25">
      <c r="A1828">
        <v>2827</v>
      </c>
      <c r="B1828" t="s">
        <v>1868</v>
      </c>
      <c r="C1828" t="s">
        <v>27</v>
      </c>
      <c r="D1828" t="s">
        <v>15</v>
      </c>
      <c r="E1828" t="s">
        <v>17</v>
      </c>
      <c r="F1828" t="s">
        <v>22</v>
      </c>
      <c r="G1828">
        <v>44</v>
      </c>
      <c r="H1828" s="13">
        <v>93745</v>
      </c>
      <c r="I1828" s="13">
        <v>20419</v>
      </c>
      <c r="J1828" t="s">
        <v>26</v>
      </c>
      <c r="K1828" s="13">
        <f>HR_Data[[#This Row],[Salary]]+HR_Data[[#This Row],[Bonus]]</f>
        <v>114164</v>
      </c>
    </row>
    <row r="1829" spans="1:11" x14ac:dyDescent="0.25">
      <c r="A1829">
        <v>2828</v>
      </c>
      <c r="B1829" t="s">
        <v>1869</v>
      </c>
      <c r="C1829" t="s">
        <v>8</v>
      </c>
      <c r="D1829" t="s">
        <v>14</v>
      </c>
      <c r="E1829" t="s">
        <v>18</v>
      </c>
      <c r="F1829" t="s">
        <v>21</v>
      </c>
      <c r="G1829">
        <v>53</v>
      </c>
      <c r="H1829" s="13">
        <v>69306</v>
      </c>
      <c r="I1829" s="13">
        <v>7249</v>
      </c>
      <c r="J1829" t="s">
        <v>25</v>
      </c>
      <c r="K1829" s="13">
        <f>HR_Data[[#This Row],[Salary]]+HR_Data[[#This Row],[Bonus]]</f>
        <v>76555</v>
      </c>
    </row>
    <row r="1830" spans="1:11" x14ac:dyDescent="0.25">
      <c r="A1830">
        <v>2829</v>
      </c>
      <c r="B1830" t="s">
        <v>1870</v>
      </c>
      <c r="C1830" t="s">
        <v>12</v>
      </c>
      <c r="D1830" t="s">
        <v>14</v>
      </c>
      <c r="E1830" t="s">
        <v>17</v>
      </c>
      <c r="F1830" t="s">
        <v>21</v>
      </c>
      <c r="G1830">
        <v>31</v>
      </c>
      <c r="H1830" s="13">
        <v>69554.53</v>
      </c>
      <c r="I1830" s="13">
        <v>7809</v>
      </c>
      <c r="J1830" t="s">
        <v>25</v>
      </c>
      <c r="K1830" s="13">
        <f>HR_Data[[#This Row],[Salary]]+HR_Data[[#This Row],[Bonus]]</f>
        <v>77363.53</v>
      </c>
    </row>
    <row r="1831" spans="1:11" x14ac:dyDescent="0.25">
      <c r="A1831">
        <v>2830</v>
      </c>
      <c r="B1831" t="s">
        <v>1871</v>
      </c>
      <c r="C1831" t="s">
        <v>9</v>
      </c>
      <c r="D1831" t="s">
        <v>14</v>
      </c>
      <c r="E1831" t="s">
        <v>17</v>
      </c>
      <c r="F1831" t="s">
        <v>21</v>
      </c>
      <c r="G1831">
        <v>32</v>
      </c>
      <c r="H1831" s="13">
        <v>48024</v>
      </c>
      <c r="I1831" s="13">
        <v>7921</v>
      </c>
      <c r="J1831" t="s">
        <v>25</v>
      </c>
      <c r="K1831" s="13">
        <f>HR_Data[[#This Row],[Salary]]+HR_Data[[#This Row],[Bonus]]</f>
        <v>55945</v>
      </c>
    </row>
    <row r="1832" spans="1:11" x14ac:dyDescent="0.25">
      <c r="A1832">
        <v>2831</v>
      </c>
      <c r="B1832" t="s">
        <v>1872</v>
      </c>
      <c r="C1832" t="s">
        <v>2042</v>
      </c>
      <c r="D1832" t="s">
        <v>15</v>
      </c>
      <c r="E1832" t="s">
        <v>17</v>
      </c>
      <c r="F1832" t="s">
        <v>24</v>
      </c>
      <c r="G1832">
        <v>59</v>
      </c>
      <c r="H1832" s="13">
        <v>114950</v>
      </c>
      <c r="I1832" s="13">
        <v>9676</v>
      </c>
      <c r="J1832" t="s">
        <v>25</v>
      </c>
      <c r="K1832" s="13">
        <f>HR_Data[[#This Row],[Salary]]+HR_Data[[#This Row],[Bonus]]</f>
        <v>124626</v>
      </c>
    </row>
    <row r="1833" spans="1:11" x14ac:dyDescent="0.25">
      <c r="A1833">
        <v>2832</v>
      </c>
      <c r="B1833" t="s">
        <v>1873</v>
      </c>
      <c r="C1833" t="s">
        <v>12</v>
      </c>
      <c r="D1833" t="s">
        <v>14</v>
      </c>
      <c r="E1833" t="s">
        <v>20</v>
      </c>
      <c r="F1833" t="s">
        <v>22</v>
      </c>
      <c r="G1833">
        <v>27</v>
      </c>
      <c r="H1833" s="13">
        <v>60818</v>
      </c>
      <c r="I1833" s="13">
        <v>25425</v>
      </c>
      <c r="J1833" t="s">
        <v>25</v>
      </c>
      <c r="K1833" s="13">
        <f>HR_Data[[#This Row],[Salary]]+HR_Data[[#This Row],[Bonus]]</f>
        <v>86243</v>
      </c>
    </row>
    <row r="1834" spans="1:11" x14ac:dyDescent="0.25">
      <c r="A1834">
        <v>2833</v>
      </c>
      <c r="B1834" t="s">
        <v>1874</v>
      </c>
      <c r="C1834" t="s">
        <v>2042</v>
      </c>
      <c r="D1834" t="s">
        <v>15</v>
      </c>
      <c r="E1834" t="s">
        <v>17</v>
      </c>
      <c r="F1834" t="s">
        <v>24</v>
      </c>
      <c r="G1834">
        <v>55</v>
      </c>
      <c r="H1834" s="13">
        <v>25947</v>
      </c>
      <c r="I1834" s="13">
        <v>7417</v>
      </c>
      <c r="J1834" t="s">
        <v>25</v>
      </c>
      <c r="K1834" s="13">
        <f>HR_Data[[#This Row],[Salary]]+HR_Data[[#This Row],[Bonus]]</f>
        <v>33364</v>
      </c>
    </row>
    <row r="1835" spans="1:11" x14ac:dyDescent="0.25">
      <c r="A1835">
        <v>2834</v>
      </c>
      <c r="B1835" t="s">
        <v>1875</v>
      </c>
      <c r="C1835" t="s">
        <v>2042</v>
      </c>
      <c r="D1835" t="s">
        <v>14</v>
      </c>
      <c r="E1835" t="s">
        <v>17</v>
      </c>
      <c r="F1835" t="s">
        <v>21</v>
      </c>
      <c r="G1835">
        <v>57</v>
      </c>
      <c r="H1835" s="13">
        <v>95153</v>
      </c>
      <c r="I1835" s="13">
        <v>21916</v>
      </c>
      <c r="J1835" t="s">
        <v>26</v>
      </c>
      <c r="K1835" s="13">
        <f>HR_Data[[#This Row],[Salary]]+HR_Data[[#This Row],[Bonus]]</f>
        <v>117069</v>
      </c>
    </row>
    <row r="1836" spans="1:11" x14ac:dyDescent="0.25">
      <c r="A1836">
        <v>2835</v>
      </c>
      <c r="B1836" t="s">
        <v>1876</v>
      </c>
      <c r="C1836" t="s">
        <v>9</v>
      </c>
      <c r="D1836" t="s">
        <v>15</v>
      </c>
      <c r="E1836" t="s">
        <v>17</v>
      </c>
      <c r="F1836" t="s">
        <v>23</v>
      </c>
      <c r="G1836">
        <v>58</v>
      </c>
      <c r="H1836" s="13">
        <v>69554.53</v>
      </c>
      <c r="I1836" s="13">
        <v>18463</v>
      </c>
      <c r="J1836" t="s">
        <v>25</v>
      </c>
      <c r="K1836" s="13">
        <f>HR_Data[[#This Row],[Salary]]+HR_Data[[#This Row],[Bonus]]</f>
        <v>88017.53</v>
      </c>
    </row>
    <row r="1837" spans="1:11" x14ac:dyDescent="0.25">
      <c r="A1837">
        <v>2836</v>
      </c>
      <c r="B1837" t="s">
        <v>1877</v>
      </c>
      <c r="C1837" t="s">
        <v>8</v>
      </c>
      <c r="D1837" t="s">
        <v>15</v>
      </c>
      <c r="E1837" t="s">
        <v>16</v>
      </c>
      <c r="F1837" t="s">
        <v>22</v>
      </c>
      <c r="G1837">
        <v>38</v>
      </c>
      <c r="H1837" s="13">
        <v>114238</v>
      </c>
      <c r="I1837" s="13">
        <v>13167</v>
      </c>
      <c r="J1837" t="s">
        <v>25</v>
      </c>
      <c r="K1837" s="13">
        <f>HR_Data[[#This Row],[Salary]]+HR_Data[[#This Row],[Bonus]]</f>
        <v>127405</v>
      </c>
    </row>
    <row r="1838" spans="1:11" x14ac:dyDescent="0.25">
      <c r="A1838">
        <v>2837</v>
      </c>
      <c r="B1838" t="s">
        <v>1878</v>
      </c>
      <c r="C1838" t="s">
        <v>10</v>
      </c>
      <c r="D1838" t="s">
        <v>15</v>
      </c>
      <c r="E1838" t="s">
        <v>20</v>
      </c>
      <c r="F1838" t="s">
        <v>24</v>
      </c>
      <c r="G1838">
        <v>33</v>
      </c>
      <c r="H1838" s="13">
        <v>87428</v>
      </c>
      <c r="I1838" s="13">
        <v>6469</v>
      </c>
      <c r="J1838" t="s">
        <v>25</v>
      </c>
      <c r="K1838" s="13">
        <f>HR_Data[[#This Row],[Salary]]+HR_Data[[#This Row],[Bonus]]</f>
        <v>93897</v>
      </c>
    </row>
    <row r="1839" spans="1:11" x14ac:dyDescent="0.25">
      <c r="A1839">
        <v>2838</v>
      </c>
      <c r="B1839" t="s">
        <v>1879</v>
      </c>
      <c r="C1839" t="s">
        <v>11</v>
      </c>
      <c r="D1839" t="s">
        <v>14</v>
      </c>
      <c r="E1839" t="s">
        <v>18</v>
      </c>
      <c r="F1839" t="s">
        <v>22</v>
      </c>
      <c r="G1839">
        <v>42</v>
      </c>
      <c r="H1839" s="13">
        <v>49754</v>
      </c>
      <c r="I1839" s="13">
        <v>12292</v>
      </c>
      <c r="J1839" t="s">
        <v>25</v>
      </c>
      <c r="K1839" s="13">
        <f>HR_Data[[#This Row],[Salary]]+HR_Data[[#This Row],[Bonus]]</f>
        <v>62046</v>
      </c>
    </row>
    <row r="1840" spans="1:11" x14ac:dyDescent="0.25">
      <c r="A1840">
        <v>2839</v>
      </c>
      <c r="B1840" t="s">
        <v>1880</v>
      </c>
      <c r="C1840" t="s">
        <v>8</v>
      </c>
      <c r="D1840" t="s">
        <v>14</v>
      </c>
      <c r="E1840" t="s">
        <v>16</v>
      </c>
      <c r="F1840" t="s">
        <v>23</v>
      </c>
      <c r="G1840">
        <v>40</v>
      </c>
      <c r="H1840" s="13">
        <v>83355</v>
      </c>
      <c r="I1840" s="13">
        <v>28526</v>
      </c>
      <c r="J1840" t="s">
        <v>25</v>
      </c>
      <c r="K1840" s="13">
        <f>HR_Data[[#This Row],[Salary]]+HR_Data[[#This Row],[Bonus]]</f>
        <v>111881</v>
      </c>
    </row>
    <row r="1841" spans="1:11" x14ac:dyDescent="0.25">
      <c r="A1841">
        <v>2840</v>
      </c>
      <c r="B1841" t="s">
        <v>1881</v>
      </c>
      <c r="C1841" t="s">
        <v>11</v>
      </c>
      <c r="D1841" t="s">
        <v>15</v>
      </c>
      <c r="E1841" t="s">
        <v>19</v>
      </c>
      <c r="F1841" t="s">
        <v>24</v>
      </c>
      <c r="G1841">
        <v>24</v>
      </c>
      <c r="H1841" s="13">
        <v>78241</v>
      </c>
      <c r="I1841" s="13">
        <v>27384</v>
      </c>
      <c r="J1841" t="s">
        <v>25</v>
      </c>
      <c r="K1841" s="13">
        <f>HR_Data[[#This Row],[Salary]]+HR_Data[[#This Row],[Bonus]]</f>
        <v>105625</v>
      </c>
    </row>
    <row r="1842" spans="1:11" x14ac:dyDescent="0.25">
      <c r="A1842">
        <v>2841</v>
      </c>
      <c r="B1842" t="s">
        <v>1882</v>
      </c>
      <c r="C1842" t="s">
        <v>9</v>
      </c>
      <c r="D1842" t="s">
        <v>15</v>
      </c>
      <c r="E1842" t="s">
        <v>20</v>
      </c>
      <c r="F1842" t="s">
        <v>21</v>
      </c>
      <c r="G1842">
        <v>39</v>
      </c>
      <c r="H1842" s="13">
        <v>88960</v>
      </c>
      <c r="I1842" s="13">
        <v>28465</v>
      </c>
      <c r="J1842" t="s">
        <v>25</v>
      </c>
      <c r="K1842" s="13">
        <f>HR_Data[[#This Row],[Salary]]+HR_Data[[#This Row],[Bonus]]</f>
        <v>117425</v>
      </c>
    </row>
    <row r="1843" spans="1:11" x14ac:dyDescent="0.25">
      <c r="A1843">
        <v>2842</v>
      </c>
      <c r="B1843" t="s">
        <v>1883</v>
      </c>
      <c r="C1843" t="s">
        <v>9</v>
      </c>
      <c r="D1843" t="s">
        <v>15</v>
      </c>
      <c r="E1843" t="s">
        <v>20</v>
      </c>
      <c r="F1843" t="s">
        <v>24</v>
      </c>
      <c r="G1843">
        <v>40</v>
      </c>
      <c r="H1843" s="13">
        <v>33418</v>
      </c>
      <c r="I1843" s="13">
        <v>26033</v>
      </c>
      <c r="J1843" t="s">
        <v>25</v>
      </c>
      <c r="K1843" s="13">
        <f>HR_Data[[#This Row],[Salary]]+HR_Data[[#This Row],[Bonus]]</f>
        <v>59451</v>
      </c>
    </row>
    <row r="1844" spans="1:11" x14ac:dyDescent="0.25">
      <c r="A1844">
        <v>2843</v>
      </c>
      <c r="B1844" t="s">
        <v>1884</v>
      </c>
      <c r="C1844" t="s">
        <v>9</v>
      </c>
      <c r="D1844" t="s">
        <v>14</v>
      </c>
      <c r="E1844" t="s">
        <v>19</v>
      </c>
      <c r="F1844" t="s">
        <v>22</v>
      </c>
      <c r="G1844">
        <v>27</v>
      </c>
      <c r="H1844" s="13">
        <v>115422</v>
      </c>
      <c r="I1844" s="13">
        <v>11931</v>
      </c>
      <c r="J1844" t="s">
        <v>25</v>
      </c>
      <c r="K1844" s="13">
        <f>HR_Data[[#This Row],[Salary]]+HR_Data[[#This Row],[Bonus]]</f>
        <v>127353</v>
      </c>
    </row>
    <row r="1845" spans="1:11" x14ac:dyDescent="0.25">
      <c r="A1845">
        <v>2844</v>
      </c>
      <c r="B1845" t="s">
        <v>1885</v>
      </c>
      <c r="C1845" t="s">
        <v>12</v>
      </c>
      <c r="D1845" t="s">
        <v>14</v>
      </c>
      <c r="E1845" t="s">
        <v>19</v>
      </c>
      <c r="F1845" t="s">
        <v>22</v>
      </c>
      <c r="G1845">
        <v>37</v>
      </c>
      <c r="H1845" s="13">
        <v>108593</v>
      </c>
      <c r="I1845" s="13">
        <v>24808</v>
      </c>
      <c r="J1845" t="s">
        <v>26</v>
      </c>
      <c r="K1845" s="13">
        <f>HR_Data[[#This Row],[Salary]]+HR_Data[[#This Row],[Bonus]]</f>
        <v>133401</v>
      </c>
    </row>
    <row r="1846" spans="1:11" x14ac:dyDescent="0.25">
      <c r="A1846">
        <v>2845</v>
      </c>
      <c r="B1846" t="s">
        <v>1886</v>
      </c>
      <c r="C1846" t="s">
        <v>11</v>
      </c>
      <c r="D1846" t="s">
        <v>14</v>
      </c>
      <c r="E1846" t="s">
        <v>19</v>
      </c>
      <c r="F1846" t="s">
        <v>22</v>
      </c>
      <c r="G1846">
        <v>29</v>
      </c>
      <c r="H1846" s="13">
        <v>75184</v>
      </c>
      <c r="I1846" s="13">
        <v>6091</v>
      </c>
      <c r="J1846" t="s">
        <v>26</v>
      </c>
      <c r="K1846" s="13">
        <f>HR_Data[[#This Row],[Salary]]+HR_Data[[#This Row],[Bonus]]</f>
        <v>81275</v>
      </c>
    </row>
    <row r="1847" spans="1:11" x14ac:dyDescent="0.25">
      <c r="A1847">
        <v>2846</v>
      </c>
      <c r="B1847" t="s">
        <v>1887</v>
      </c>
      <c r="C1847" t="s">
        <v>8</v>
      </c>
      <c r="D1847" t="s">
        <v>14</v>
      </c>
      <c r="E1847" t="s">
        <v>18</v>
      </c>
      <c r="F1847" t="s">
        <v>22</v>
      </c>
      <c r="G1847">
        <v>39</v>
      </c>
      <c r="H1847" s="13">
        <v>24833</v>
      </c>
      <c r="I1847" s="13">
        <v>21363</v>
      </c>
      <c r="J1847" t="s">
        <v>25</v>
      </c>
      <c r="K1847" s="13">
        <f>HR_Data[[#This Row],[Salary]]+HR_Data[[#This Row],[Bonus]]</f>
        <v>46196</v>
      </c>
    </row>
    <row r="1848" spans="1:11" x14ac:dyDescent="0.25">
      <c r="A1848">
        <v>2847</v>
      </c>
      <c r="B1848" t="s">
        <v>1888</v>
      </c>
      <c r="C1848" t="s">
        <v>8</v>
      </c>
      <c r="D1848" t="s">
        <v>15</v>
      </c>
      <c r="E1848" t="s">
        <v>17</v>
      </c>
      <c r="F1848" t="s">
        <v>21</v>
      </c>
      <c r="G1848">
        <v>33</v>
      </c>
      <c r="H1848" s="13">
        <v>95430</v>
      </c>
      <c r="I1848" s="13">
        <v>29233</v>
      </c>
      <c r="J1848" t="s">
        <v>26</v>
      </c>
      <c r="K1848" s="13">
        <f>HR_Data[[#This Row],[Salary]]+HR_Data[[#This Row],[Bonus]]</f>
        <v>124663</v>
      </c>
    </row>
    <row r="1849" spans="1:11" x14ac:dyDescent="0.25">
      <c r="A1849">
        <v>2848</v>
      </c>
      <c r="B1849" t="s">
        <v>1889</v>
      </c>
      <c r="C1849" t="s">
        <v>2042</v>
      </c>
      <c r="D1849" t="s">
        <v>15</v>
      </c>
      <c r="E1849" t="s">
        <v>20</v>
      </c>
      <c r="F1849" t="s">
        <v>24</v>
      </c>
      <c r="G1849">
        <v>31</v>
      </c>
      <c r="H1849" s="13">
        <v>61833</v>
      </c>
      <c r="I1849" s="13">
        <v>26038</v>
      </c>
      <c r="J1849" t="s">
        <v>26</v>
      </c>
      <c r="K1849" s="13">
        <f>HR_Data[[#This Row],[Salary]]+HR_Data[[#This Row],[Bonus]]</f>
        <v>87871</v>
      </c>
    </row>
    <row r="1850" spans="1:11" x14ac:dyDescent="0.25">
      <c r="A1850">
        <v>2849</v>
      </c>
      <c r="B1850" t="s">
        <v>1890</v>
      </c>
      <c r="C1850" t="s">
        <v>2042</v>
      </c>
      <c r="D1850" t="s">
        <v>14</v>
      </c>
      <c r="E1850" t="s">
        <v>17</v>
      </c>
      <c r="F1850" t="s">
        <v>21</v>
      </c>
      <c r="G1850">
        <v>28</v>
      </c>
      <c r="H1850" s="13">
        <v>20565</v>
      </c>
      <c r="I1850" s="13">
        <v>5260</v>
      </c>
      <c r="J1850" t="s">
        <v>25</v>
      </c>
      <c r="K1850" s="13">
        <f>HR_Data[[#This Row],[Salary]]+HR_Data[[#This Row],[Bonus]]</f>
        <v>25825</v>
      </c>
    </row>
    <row r="1851" spans="1:11" x14ac:dyDescent="0.25">
      <c r="A1851">
        <v>2850</v>
      </c>
      <c r="B1851" t="s">
        <v>1891</v>
      </c>
      <c r="C1851" t="s">
        <v>2042</v>
      </c>
      <c r="D1851" t="s">
        <v>14</v>
      </c>
      <c r="E1851" t="s">
        <v>17</v>
      </c>
      <c r="F1851" t="s">
        <v>21</v>
      </c>
      <c r="G1851">
        <v>22</v>
      </c>
      <c r="H1851" s="13">
        <v>60180</v>
      </c>
      <c r="I1851" s="13">
        <v>15456</v>
      </c>
      <c r="J1851" t="s">
        <v>25</v>
      </c>
      <c r="K1851" s="13">
        <f>HR_Data[[#This Row],[Salary]]+HR_Data[[#This Row],[Bonus]]</f>
        <v>75636</v>
      </c>
    </row>
    <row r="1852" spans="1:11" x14ac:dyDescent="0.25">
      <c r="A1852">
        <v>2851</v>
      </c>
      <c r="B1852" t="s">
        <v>1892</v>
      </c>
      <c r="C1852" t="s">
        <v>9</v>
      </c>
      <c r="D1852" t="s">
        <v>15</v>
      </c>
      <c r="E1852" t="s">
        <v>19</v>
      </c>
      <c r="F1852" t="s">
        <v>21</v>
      </c>
      <c r="G1852">
        <v>57</v>
      </c>
      <c r="H1852" s="13">
        <v>38402</v>
      </c>
      <c r="I1852" s="13">
        <v>27320</v>
      </c>
      <c r="J1852" t="s">
        <v>25</v>
      </c>
      <c r="K1852" s="13">
        <f>HR_Data[[#This Row],[Salary]]+HR_Data[[#This Row],[Bonus]]</f>
        <v>65722</v>
      </c>
    </row>
    <row r="1853" spans="1:11" x14ac:dyDescent="0.25">
      <c r="A1853">
        <v>2852</v>
      </c>
      <c r="B1853" t="s">
        <v>1893</v>
      </c>
      <c r="C1853" t="s">
        <v>8</v>
      </c>
      <c r="D1853" t="s">
        <v>14</v>
      </c>
      <c r="E1853" t="s">
        <v>18</v>
      </c>
      <c r="F1853" t="s">
        <v>22</v>
      </c>
      <c r="G1853">
        <v>42</v>
      </c>
      <c r="H1853" s="13">
        <v>62845</v>
      </c>
      <c r="I1853" s="13">
        <v>18435</v>
      </c>
      <c r="J1853" t="s">
        <v>25</v>
      </c>
      <c r="K1853" s="13">
        <f>HR_Data[[#This Row],[Salary]]+HR_Data[[#This Row],[Bonus]]</f>
        <v>81280</v>
      </c>
    </row>
    <row r="1854" spans="1:11" x14ac:dyDescent="0.25">
      <c r="A1854">
        <v>2853</v>
      </c>
      <c r="B1854" t="s">
        <v>1894</v>
      </c>
      <c r="C1854" t="s">
        <v>11</v>
      </c>
      <c r="D1854" t="s">
        <v>14</v>
      </c>
      <c r="E1854" t="s">
        <v>16</v>
      </c>
      <c r="F1854" t="s">
        <v>22</v>
      </c>
      <c r="G1854">
        <v>58</v>
      </c>
      <c r="H1854" s="13">
        <v>95851</v>
      </c>
      <c r="I1854" s="13">
        <v>14377</v>
      </c>
      <c r="J1854" t="s">
        <v>25</v>
      </c>
      <c r="K1854" s="13">
        <f>HR_Data[[#This Row],[Salary]]+HR_Data[[#This Row],[Bonus]]</f>
        <v>110228</v>
      </c>
    </row>
    <row r="1855" spans="1:11" x14ac:dyDescent="0.25">
      <c r="A1855">
        <v>2854</v>
      </c>
      <c r="B1855" t="s">
        <v>1895</v>
      </c>
      <c r="C1855" t="s">
        <v>9</v>
      </c>
      <c r="D1855" t="s">
        <v>14</v>
      </c>
      <c r="E1855" t="s">
        <v>18</v>
      </c>
      <c r="F1855" t="s">
        <v>22</v>
      </c>
      <c r="G1855">
        <v>45</v>
      </c>
      <c r="H1855" s="13">
        <v>32834</v>
      </c>
      <c r="I1855" s="13">
        <v>20813</v>
      </c>
      <c r="J1855" t="s">
        <v>26</v>
      </c>
      <c r="K1855" s="13">
        <f>HR_Data[[#This Row],[Salary]]+HR_Data[[#This Row],[Bonus]]</f>
        <v>53647</v>
      </c>
    </row>
    <row r="1856" spans="1:11" x14ac:dyDescent="0.25">
      <c r="A1856">
        <v>2855</v>
      </c>
      <c r="B1856" t="s">
        <v>1896</v>
      </c>
      <c r="C1856" t="s">
        <v>12</v>
      </c>
      <c r="D1856" t="s">
        <v>14</v>
      </c>
      <c r="E1856" t="s">
        <v>17</v>
      </c>
      <c r="F1856" t="s">
        <v>24</v>
      </c>
      <c r="G1856">
        <v>46</v>
      </c>
      <c r="H1856" s="13">
        <v>87850</v>
      </c>
      <c r="I1856" s="13">
        <v>25754</v>
      </c>
      <c r="J1856" t="s">
        <v>25</v>
      </c>
      <c r="K1856" s="13">
        <f>HR_Data[[#This Row],[Salary]]+HR_Data[[#This Row],[Bonus]]</f>
        <v>113604</v>
      </c>
    </row>
    <row r="1857" spans="1:11" x14ac:dyDescent="0.25">
      <c r="A1857">
        <v>2856</v>
      </c>
      <c r="B1857" t="s">
        <v>1897</v>
      </c>
      <c r="C1857" t="s">
        <v>2042</v>
      </c>
      <c r="D1857" t="s">
        <v>14</v>
      </c>
      <c r="E1857" t="s">
        <v>18</v>
      </c>
      <c r="F1857" t="s">
        <v>23</v>
      </c>
      <c r="G1857">
        <v>28</v>
      </c>
      <c r="H1857" s="13">
        <v>57180</v>
      </c>
      <c r="I1857" s="13">
        <v>9301</v>
      </c>
      <c r="J1857" t="s">
        <v>25</v>
      </c>
      <c r="K1857" s="13">
        <f>HR_Data[[#This Row],[Salary]]+HR_Data[[#This Row],[Bonus]]</f>
        <v>66481</v>
      </c>
    </row>
    <row r="1858" spans="1:11" x14ac:dyDescent="0.25">
      <c r="A1858">
        <v>2857</v>
      </c>
      <c r="B1858" t="s">
        <v>1898</v>
      </c>
      <c r="C1858" t="s">
        <v>9</v>
      </c>
      <c r="D1858" t="s">
        <v>14</v>
      </c>
      <c r="E1858" t="s">
        <v>19</v>
      </c>
      <c r="F1858" t="s">
        <v>22</v>
      </c>
      <c r="G1858">
        <v>38</v>
      </c>
      <c r="H1858" s="13">
        <v>23883</v>
      </c>
      <c r="I1858" s="13">
        <v>12207</v>
      </c>
      <c r="J1858" t="s">
        <v>25</v>
      </c>
      <c r="K1858" s="13">
        <f>HR_Data[[#This Row],[Salary]]+HR_Data[[#This Row],[Bonus]]</f>
        <v>36090</v>
      </c>
    </row>
    <row r="1859" spans="1:11" x14ac:dyDescent="0.25">
      <c r="A1859">
        <v>2858</v>
      </c>
      <c r="B1859" t="s">
        <v>1899</v>
      </c>
      <c r="C1859" t="s">
        <v>9</v>
      </c>
      <c r="D1859" t="s">
        <v>15</v>
      </c>
      <c r="E1859" t="s">
        <v>16</v>
      </c>
      <c r="F1859" t="s">
        <v>24</v>
      </c>
      <c r="G1859">
        <v>50</v>
      </c>
      <c r="H1859" s="13">
        <v>69554.53</v>
      </c>
      <c r="I1859" s="13">
        <v>27203</v>
      </c>
      <c r="J1859" t="s">
        <v>25</v>
      </c>
      <c r="K1859" s="13">
        <f>HR_Data[[#This Row],[Salary]]+HR_Data[[#This Row],[Bonus]]</f>
        <v>96757.53</v>
      </c>
    </row>
    <row r="1860" spans="1:11" x14ac:dyDescent="0.25">
      <c r="A1860">
        <v>2859</v>
      </c>
      <c r="B1860" t="s">
        <v>1900</v>
      </c>
      <c r="C1860" t="s">
        <v>12</v>
      </c>
      <c r="D1860" t="s">
        <v>14</v>
      </c>
      <c r="E1860" t="s">
        <v>19</v>
      </c>
      <c r="F1860" t="s">
        <v>22</v>
      </c>
      <c r="G1860">
        <v>51</v>
      </c>
      <c r="H1860" s="13">
        <v>31695</v>
      </c>
      <c r="I1860" s="13">
        <v>21476</v>
      </c>
      <c r="J1860" t="s">
        <v>25</v>
      </c>
      <c r="K1860" s="13">
        <f>HR_Data[[#This Row],[Salary]]+HR_Data[[#This Row],[Bonus]]</f>
        <v>53171</v>
      </c>
    </row>
    <row r="1861" spans="1:11" x14ac:dyDescent="0.25">
      <c r="A1861">
        <v>2860</v>
      </c>
      <c r="B1861" t="s">
        <v>1901</v>
      </c>
      <c r="C1861" t="s">
        <v>10</v>
      </c>
      <c r="D1861" t="s">
        <v>14</v>
      </c>
      <c r="E1861" t="s">
        <v>16</v>
      </c>
      <c r="F1861" t="s">
        <v>22</v>
      </c>
      <c r="G1861">
        <v>28</v>
      </c>
      <c r="H1861" s="13">
        <v>43123</v>
      </c>
      <c r="I1861" s="13">
        <v>26545</v>
      </c>
      <c r="J1861" t="s">
        <v>25</v>
      </c>
      <c r="K1861" s="13">
        <f>HR_Data[[#This Row],[Salary]]+HR_Data[[#This Row],[Bonus]]</f>
        <v>69668</v>
      </c>
    </row>
    <row r="1862" spans="1:11" x14ac:dyDescent="0.25">
      <c r="A1862">
        <v>2861</v>
      </c>
      <c r="B1862" t="s">
        <v>1902</v>
      </c>
      <c r="C1862" t="s">
        <v>8</v>
      </c>
      <c r="D1862" t="s">
        <v>15</v>
      </c>
      <c r="E1862" t="s">
        <v>17</v>
      </c>
      <c r="F1862" t="s">
        <v>21</v>
      </c>
      <c r="G1862">
        <v>54</v>
      </c>
      <c r="H1862" s="13">
        <v>78481</v>
      </c>
      <c r="I1862" s="13">
        <v>29016</v>
      </c>
      <c r="J1862" t="s">
        <v>26</v>
      </c>
      <c r="K1862" s="13">
        <f>HR_Data[[#This Row],[Salary]]+HR_Data[[#This Row],[Bonus]]</f>
        <v>107497</v>
      </c>
    </row>
    <row r="1863" spans="1:11" x14ac:dyDescent="0.25">
      <c r="A1863">
        <v>2862</v>
      </c>
      <c r="B1863" t="s">
        <v>1903</v>
      </c>
      <c r="C1863" t="s">
        <v>11</v>
      </c>
      <c r="D1863" t="s">
        <v>15</v>
      </c>
      <c r="E1863" t="s">
        <v>16</v>
      </c>
      <c r="F1863" t="s">
        <v>21</v>
      </c>
      <c r="G1863">
        <v>28</v>
      </c>
      <c r="H1863" s="13">
        <v>93438</v>
      </c>
      <c r="I1863" s="13">
        <v>27592</v>
      </c>
      <c r="J1863" t="s">
        <v>25</v>
      </c>
      <c r="K1863" s="13">
        <f>HR_Data[[#This Row],[Salary]]+HR_Data[[#This Row],[Bonus]]</f>
        <v>121030</v>
      </c>
    </row>
    <row r="1864" spans="1:11" x14ac:dyDescent="0.25">
      <c r="A1864">
        <v>2863</v>
      </c>
      <c r="B1864" t="s">
        <v>1904</v>
      </c>
      <c r="C1864" t="s">
        <v>10</v>
      </c>
      <c r="D1864" t="s">
        <v>15</v>
      </c>
      <c r="E1864" t="s">
        <v>16</v>
      </c>
      <c r="F1864" t="s">
        <v>21</v>
      </c>
      <c r="G1864">
        <v>45</v>
      </c>
      <c r="H1864" s="13">
        <v>37573</v>
      </c>
      <c r="I1864" s="13">
        <v>13556</v>
      </c>
      <c r="J1864" t="s">
        <v>25</v>
      </c>
      <c r="K1864" s="13">
        <f>HR_Data[[#This Row],[Salary]]+HR_Data[[#This Row],[Bonus]]</f>
        <v>51129</v>
      </c>
    </row>
    <row r="1865" spans="1:11" x14ac:dyDescent="0.25">
      <c r="A1865">
        <v>2864</v>
      </c>
      <c r="B1865" t="s">
        <v>1905</v>
      </c>
      <c r="C1865" t="s">
        <v>2042</v>
      </c>
      <c r="D1865" t="s">
        <v>14</v>
      </c>
      <c r="E1865" t="s">
        <v>16</v>
      </c>
      <c r="F1865" t="s">
        <v>24</v>
      </c>
      <c r="G1865">
        <v>32</v>
      </c>
      <c r="H1865" s="13">
        <v>114910</v>
      </c>
      <c r="I1865" s="13">
        <v>26300</v>
      </c>
      <c r="J1865" t="s">
        <v>25</v>
      </c>
      <c r="K1865" s="13">
        <f>HR_Data[[#This Row],[Salary]]+HR_Data[[#This Row],[Bonus]]</f>
        <v>141210</v>
      </c>
    </row>
    <row r="1866" spans="1:11" x14ac:dyDescent="0.25">
      <c r="A1866">
        <v>2865</v>
      </c>
      <c r="B1866" t="s">
        <v>1906</v>
      </c>
      <c r="C1866" t="s">
        <v>9</v>
      </c>
      <c r="D1866" t="s">
        <v>15</v>
      </c>
      <c r="E1866" t="s">
        <v>18</v>
      </c>
      <c r="F1866" t="s">
        <v>23</v>
      </c>
      <c r="G1866">
        <v>30</v>
      </c>
      <c r="H1866" s="13">
        <v>76494</v>
      </c>
      <c r="I1866" s="13">
        <v>18795</v>
      </c>
      <c r="J1866" t="s">
        <v>25</v>
      </c>
      <c r="K1866" s="13">
        <f>HR_Data[[#This Row],[Salary]]+HR_Data[[#This Row],[Bonus]]</f>
        <v>95289</v>
      </c>
    </row>
    <row r="1867" spans="1:11" x14ac:dyDescent="0.25">
      <c r="A1867">
        <v>2866</v>
      </c>
      <c r="B1867" t="s">
        <v>1907</v>
      </c>
      <c r="C1867" t="s">
        <v>12</v>
      </c>
      <c r="D1867" t="s">
        <v>14</v>
      </c>
      <c r="E1867" t="s">
        <v>18</v>
      </c>
      <c r="F1867" t="s">
        <v>23</v>
      </c>
      <c r="G1867">
        <v>33</v>
      </c>
      <c r="H1867" s="13">
        <v>32288</v>
      </c>
      <c r="I1867" s="13">
        <v>25102</v>
      </c>
      <c r="J1867" t="s">
        <v>26</v>
      </c>
      <c r="K1867" s="13">
        <f>HR_Data[[#This Row],[Salary]]+HR_Data[[#This Row],[Bonus]]</f>
        <v>57390</v>
      </c>
    </row>
    <row r="1868" spans="1:11" x14ac:dyDescent="0.25">
      <c r="A1868">
        <v>2867</v>
      </c>
      <c r="B1868" t="s">
        <v>1908</v>
      </c>
      <c r="C1868" t="s">
        <v>12</v>
      </c>
      <c r="D1868" t="s">
        <v>14</v>
      </c>
      <c r="E1868" t="s">
        <v>17</v>
      </c>
      <c r="F1868" t="s">
        <v>24</v>
      </c>
      <c r="G1868">
        <v>56</v>
      </c>
      <c r="H1868" s="13">
        <v>66978</v>
      </c>
      <c r="I1868" s="13">
        <v>11125</v>
      </c>
      <c r="J1868" t="s">
        <v>25</v>
      </c>
      <c r="K1868" s="13">
        <f>HR_Data[[#This Row],[Salary]]+HR_Data[[#This Row],[Bonus]]</f>
        <v>78103</v>
      </c>
    </row>
    <row r="1869" spans="1:11" x14ac:dyDescent="0.25">
      <c r="A1869">
        <v>2868</v>
      </c>
      <c r="B1869" t="s">
        <v>1909</v>
      </c>
      <c r="C1869" t="s">
        <v>8</v>
      </c>
      <c r="D1869" t="s">
        <v>14</v>
      </c>
      <c r="E1869" t="s">
        <v>16</v>
      </c>
      <c r="F1869" t="s">
        <v>22</v>
      </c>
      <c r="G1869">
        <v>25</v>
      </c>
      <c r="H1869" s="13">
        <v>92420</v>
      </c>
      <c r="I1869" s="13">
        <v>6924</v>
      </c>
      <c r="J1869" t="s">
        <v>25</v>
      </c>
      <c r="K1869" s="13">
        <f>HR_Data[[#This Row],[Salary]]+HR_Data[[#This Row],[Bonus]]</f>
        <v>99344</v>
      </c>
    </row>
    <row r="1870" spans="1:11" x14ac:dyDescent="0.25">
      <c r="A1870">
        <v>2869</v>
      </c>
      <c r="B1870" t="s">
        <v>1910</v>
      </c>
      <c r="C1870" t="s">
        <v>10</v>
      </c>
      <c r="D1870" t="s">
        <v>15</v>
      </c>
      <c r="E1870" t="s">
        <v>20</v>
      </c>
      <c r="F1870" t="s">
        <v>24</v>
      </c>
      <c r="G1870">
        <v>57</v>
      </c>
      <c r="H1870" s="13">
        <v>96095</v>
      </c>
      <c r="I1870" s="13">
        <v>24479</v>
      </c>
      <c r="J1870" t="s">
        <v>25</v>
      </c>
      <c r="K1870" s="13">
        <f>HR_Data[[#This Row],[Salary]]+HR_Data[[#This Row],[Bonus]]</f>
        <v>120574</v>
      </c>
    </row>
    <row r="1871" spans="1:11" x14ac:dyDescent="0.25">
      <c r="A1871">
        <v>2870</v>
      </c>
      <c r="B1871" t="s">
        <v>1911</v>
      </c>
      <c r="C1871" t="s">
        <v>8</v>
      </c>
      <c r="D1871" t="s">
        <v>15</v>
      </c>
      <c r="E1871" t="s">
        <v>17</v>
      </c>
      <c r="F1871" t="s">
        <v>22</v>
      </c>
      <c r="G1871">
        <v>49</v>
      </c>
      <c r="H1871" s="13">
        <v>74672</v>
      </c>
      <c r="I1871" s="13">
        <v>11683</v>
      </c>
      <c r="J1871" t="s">
        <v>26</v>
      </c>
      <c r="K1871" s="13">
        <f>HR_Data[[#This Row],[Salary]]+HR_Data[[#This Row],[Bonus]]</f>
        <v>86355</v>
      </c>
    </row>
    <row r="1872" spans="1:11" x14ac:dyDescent="0.25">
      <c r="A1872">
        <v>2871</v>
      </c>
      <c r="B1872" t="s">
        <v>1912</v>
      </c>
      <c r="C1872" t="s">
        <v>9</v>
      </c>
      <c r="D1872" t="s">
        <v>15</v>
      </c>
      <c r="E1872" t="s">
        <v>16</v>
      </c>
      <c r="F1872" t="s">
        <v>24</v>
      </c>
      <c r="G1872">
        <v>34</v>
      </c>
      <c r="H1872" s="13">
        <v>81821</v>
      </c>
      <c r="I1872" s="13">
        <v>26565</v>
      </c>
      <c r="J1872" t="s">
        <v>25</v>
      </c>
      <c r="K1872" s="13">
        <f>HR_Data[[#This Row],[Salary]]+HR_Data[[#This Row],[Bonus]]</f>
        <v>108386</v>
      </c>
    </row>
    <row r="1873" spans="1:11" x14ac:dyDescent="0.25">
      <c r="A1873">
        <v>2872</v>
      </c>
      <c r="B1873" t="s">
        <v>1913</v>
      </c>
      <c r="C1873" t="s">
        <v>8</v>
      </c>
      <c r="D1873" t="s">
        <v>15</v>
      </c>
      <c r="E1873" t="s">
        <v>16</v>
      </c>
      <c r="F1873" t="s">
        <v>24</v>
      </c>
      <c r="G1873">
        <v>44</v>
      </c>
      <c r="H1873" s="13">
        <v>103661</v>
      </c>
      <c r="I1873" s="13">
        <v>23922</v>
      </c>
      <c r="J1873" t="s">
        <v>25</v>
      </c>
      <c r="K1873" s="13">
        <f>HR_Data[[#This Row],[Salary]]+HR_Data[[#This Row],[Bonus]]</f>
        <v>127583</v>
      </c>
    </row>
    <row r="1874" spans="1:11" x14ac:dyDescent="0.25">
      <c r="A1874">
        <v>2873</v>
      </c>
      <c r="B1874" t="s">
        <v>1914</v>
      </c>
      <c r="C1874" t="s">
        <v>11</v>
      </c>
      <c r="D1874" t="s">
        <v>15</v>
      </c>
      <c r="E1874" t="s">
        <v>18</v>
      </c>
      <c r="F1874" t="s">
        <v>24</v>
      </c>
      <c r="G1874">
        <v>40</v>
      </c>
      <c r="H1874" s="13">
        <v>89224</v>
      </c>
      <c r="I1874" s="13">
        <v>23660</v>
      </c>
      <c r="J1874" t="s">
        <v>25</v>
      </c>
      <c r="K1874" s="13">
        <f>HR_Data[[#This Row],[Salary]]+HR_Data[[#This Row],[Bonus]]</f>
        <v>112884</v>
      </c>
    </row>
    <row r="1875" spans="1:11" x14ac:dyDescent="0.25">
      <c r="A1875">
        <v>2874</v>
      </c>
      <c r="B1875" t="s">
        <v>1915</v>
      </c>
      <c r="C1875" t="s">
        <v>12</v>
      </c>
      <c r="D1875" t="s">
        <v>14</v>
      </c>
      <c r="E1875" t="s">
        <v>17</v>
      </c>
      <c r="F1875" t="s">
        <v>23</v>
      </c>
      <c r="G1875">
        <v>58</v>
      </c>
      <c r="H1875" s="13">
        <v>109405</v>
      </c>
      <c r="I1875" s="13">
        <v>18331</v>
      </c>
      <c r="J1875" t="s">
        <v>25</v>
      </c>
      <c r="K1875" s="13">
        <f>HR_Data[[#This Row],[Salary]]+HR_Data[[#This Row],[Bonus]]</f>
        <v>127736</v>
      </c>
    </row>
    <row r="1876" spans="1:11" x14ac:dyDescent="0.25">
      <c r="A1876">
        <v>2875</v>
      </c>
      <c r="B1876" t="s">
        <v>1916</v>
      </c>
      <c r="C1876" t="s">
        <v>12</v>
      </c>
      <c r="D1876" t="s">
        <v>14</v>
      </c>
      <c r="E1876" t="s">
        <v>16</v>
      </c>
      <c r="F1876" t="s">
        <v>21</v>
      </c>
      <c r="G1876">
        <v>45</v>
      </c>
      <c r="H1876" s="13">
        <v>74796</v>
      </c>
      <c r="I1876" s="13">
        <v>29578</v>
      </c>
      <c r="J1876" t="s">
        <v>25</v>
      </c>
      <c r="K1876" s="13">
        <f>HR_Data[[#This Row],[Salary]]+HR_Data[[#This Row],[Bonus]]</f>
        <v>104374</v>
      </c>
    </row>
    <row r="1877" spans="1:11" x14ac:dyDescent="0.25">
      <c r="A1877">
        <v>2876</v>
      </c>
      <c r="B1877" t="s">
        <v>1917</v>
      </c>
      <c r="C1877" t="s">
        <v>2042</v>
      </c>
      <c r="D1877" t="s">
        <v>14</v>
      </c>
      <c r="E1877" t="s">
        <v>16</v>
      </c>
      <c r="F1877" t="s">
        <v>24</v>
      </c>
      <c r="G1877">
        <v>37</v>
      </c>
      <c r="H1877" s="13">
        <v>64706</v>
      </c>
      <c r="I1877" s="13">
        <v>14945</v>
      </c>
      <c r="J1877" t="s">
        <v>25</v>
      </c>
      <c r="K1877" s="13">
        <f>HR_Data[[#This Row],[Salary]]+HR_Data[[#This Row],[Bonus]]</f>
        <v>79651</v>
      </c>
    </row>
    <row r="1878" spans="1:11" x14ac:dyDescent="0.25">
      <c r="A1878">
        <v>2877</v>
      </c>
      <c r="B1878" t="s">
        <v>1918</v>
      </c>
      <c r="C1878" t="s">
        <v>2042</v>
      </c>
      <c r="D1878" t="s">
        <v>14</v>
      </c>
      <c r="E1878" t="s">
        <v>17</v>
      </c>
      <c r="F1878" t="s">
        <v>23</v>
      </c>
      <c r="G1878">
        <v>54</v>
      </c>
      <c r="H1878" s="13">
        <v>24023</v>
      </c>
      <c r="I1878" s="13">
        <v>22294</v>
      </c>
      <c r="J1878" t="s">
        <v>25</v>
      </c>
      <c r="K1878" s="13">
        <f>HR_Data[[#This Row],[Salary]]+HR_Data[[#This Row],[Bonus]]</f>
        <v>46317</v>
      </c>
    </row>
    <row r="1879" spans="1:11" x14ac:dyDescent="0.25">
      <c r="A1879">
        <v>2878</v>
      </c>
      <c r="B1879" t="s">
        <v>1919</v>
      </c>
      <c r="C1879" t="s">
        <v>9</v>
      </c>
      <c r="D1879" t="s">
        <v>15</v>
      </c>
      <c r="E1879" t="s">
        <v>20</v>
      </c>
      <c r="F1879" t="s">
        <v>21</v>
      </c>
      <c r="G1879">
        <v>33</v>
      </c>
      <c r="H1879" s="13">
        <v>102636</v>
      </c>
      <c r="I1879" s="13">
        <v>5306</v>
      </c>
      <c r="J1879" t="s">
        <v>25</v>
      </c>
      <c r="K1879" s="13">
        <f>HR_Data[[#This Row],[Salary]]+HR_Data[[#This Row],[Bonus]]</f>
        <v>107942</v>
      </c>
    </row>
    <row r="1880" spans="1:11" x14ac:dyDescent="0.25">
      <c r="A1880">
        <v>2879</v>
      </c>
      <c r="B1880" t="s">
        <v>1920</v>
      </c>
      <c r="C1880" t="s">
        <v>11</v>
      </c>
      <c r="D1880" t="s">
        <v>15</v>
      </c>
      <c r="E1880" t="s">
        <v>17</v>
      </c>
      <c r="F1880" t="s">
        <v>21</v>
      </c>
      <c r="G1880">
        <v>55</v>
      </c>
      <c r="H1880" s="13">
        <v>56735</v>
      </c>
      <c r="I1880" s="13">
        <v>27959</v>
      </c>
      <c r="J1880" t="s">
        <v>25</v>
      </c>
      <c r="K1880" s="13">
        <f>HR_Data[[#This Row],[Salary]]+HR_Data[[#This Row],[Bonus]]</f>
        <v>84694</v>
      </c>
    </row>
    <row r="1881" spans="1:11" x14ac:dyDescent="0.25">
      <c r="A1881">
        <v>2880</v>
      </c>
      <c r="B1881" t="s">
        <v>1921</v>
      </c>
      <c r="C1881" t="s">
        <v>10</v>
      </c>
      <c r="D1881" t="s">
        <v>14</v>
      </c>
      <c r="E1881" t="s">
        <v>17</v>
      </c>
      <c r="F1881" t="s">
        <v>24</v>
      </c>
      <c r="G1881">
        <v>28</v>
      </c>
      <c r="H1881" s="13">
        <v>92959</v>
      </c>
      <c r="I1881" s="13">
        <v>9231</v>
      </c>
      <c r="J1881" t="s">
        <v>25</v>
      </c>
      <c r="K1881" s="13">
        <f>HR_Data[[#This Row],[Salary]]+HR_Data[[#This Row],[Bonus]]</f>
        <v>102190</v>
      </c>
    </row>
    <row r="1882" spans="1:11" x14ac:dyDescent="0.25">
      <c r="A1882">
        <v>2881</v>
      </c>
      <c r="B1882" t="s">
        <v>1922</v>
      </c>
      <c r="C1882" t="s">
        <v>8</v>
      </c>
      <c r="D1882" t="s">
        <v>15</v>
      </c>
      <c r="E1882" t="s">
        <v>20</v>
      </c>
      <c r="F1882" t="s">
        <v>22</v>
      </c>
      <c r="G1882">
        <v>32</v>
      </c>
      <c r="H1882" s="13">
        <v>59218</v>
      </c>
      <c r="I1882" s="13">
        <v>11028</v>
      </c>
      <c r="J1882" t="s">
        <v>25</v>
      </c>
      <c r="K1882" s="13">
        <f>HR_Data[[#This Row],[Salary]]+HR_Data[[#This Row],[Bonus]]</f>
        <v>70246</v>
      </c>
    </row>
    <row r="1883" spans="1:11" x14ac:dyDescent="0.25">
      <c r="A1883">
        <v>2882</v>
      </c>
      <c r="B1883" t="s">
        <v>1923</v>
      </c>
      <c r="C1883" t="s">
        <v>9</v>
      </c>
      <c r="D1883" t="s">
        <v>15</v>
      </c>
      <c r="E1883" t="s">
        <v>17</v>
      </c>
      <c r="F1883" t="s">
        <v>22</v>
      </c>
      <c r="G1883">
        <v>52</v>
      </c>
      <c r="H1883" s="13">
        <v>32213</v>
      </c>
      <c r="I1883" s="13">
        <v>17207</v>
      </c>
      <c r="J1883" t="s">
        <v>25</v>
      </c>
      <c r="K1883" s="13">
        <f>HR_Data[[#This Row],[Salary]]+HR_Data[[#This Row],[Bonus]]</f>
        <v>49420</v>
      </c>
    </row>
    <row r="1884" spans="1:11" x14ac:dyDescent="0.25">
      <c r="A1884">
        <v>2883</v>
      </c>
      <c r="B1884" t="s">
        <v>1924</v>
      </c>
      <c r="C1884" t="s">
        <v>2042</v>
      </c>
      <c r="D1884" t="s">
        <v>14</v>
      </c>
      <c r="E1884" t="s">
        <v>16</v>
      </c>
      <c r="F1884" t="s">
        <v>22</v>
      </c>
      <c r="G1884">
        <v>50</v>
      </c>
      <c r="H1884" s="13">
        <v>118694</v>
      </c>
      <c r="I1884" s="13">
        <v>11658</v>
      </c>
      <c r="J1884" t="s">
        <v>25</v>
      </c>
      <c r="K1884" s="13">
        <f>HR_Data[[#This Row],[Salary]]+HR_Data[[#This Row],[Bonus]]</f>
        <v>130352</v>
      </c>
    </row>
    <row r="1885" spans="1:11" x14ac:dyDescent="0.25">
      <c r="A1885">
        <v>2884</v>
      </c>
      <c r="B1885" t="s">
        <v>1925</v>
      </c>
      <c r="C1885" t="s">
        <v>8</v>
      </c>
      <c r="D1885" t="s">
        <v>14</v>
      </c>
      <c r="E1885" t="s">
        <v>17</v>
      </c>
      <c r="F1885" t="s">
        <v>24</v>
      </c>
      <c r="G1885">
        <v>34</v>
      </c>
      <c r="H1885" s="13">
        <v>48460</v>
      </c>
      <c r="I1885" s="13">
        <v>11336</v>
      </c>
      <c r="J1885" t="s">
        <v>25</v>
      </c>
      <c r="K1885" s="13">
        <f>HR_Data[[#This Row],[Salary]]+HR_Data[[#This Row],[Bonus]]</f>
        <v>59796</v>
      </c>
    </row>
    <row r="1886" spans="1:11" x14ac:dyDescent="0.25">
      <c r="A1886">
        <v>2885</v>
      </c>
      <c r="B1886" t="s">
        <v>1926</v>
      </c>
      <c r="C1886" t="s">
        <v>2042</v>
      </c>
      <c r="D1886" t="s">
        <v>15</v>
      </c>
      <c r="E1886" t="s">
        <v>20</v>
      </c>
      <c r="F1886" t="s">
        <v>22</v>
      </c>
      <c r="G1886">
        <v>52</v>
      </c>
      <c r="H1886" s="13">
        <v>84680</v>
      </c>
      <c r="I1886" s="13">
        <v>18896</v>
      </c>
      <c r="J1886" t="s">
        <v>25</v>
      </c>
      <c r="K1886" s="13">
        <f>HR_Data[[#This Row],[Salary]]+HR_Data[[#This Row],[Bonus]]</f>
        <v>103576</v>
      </c>
    </row>
    <row r="1887" spans="1:11" x14ac:dyDescent="0.25">
      <c r="A1887">
        <v>2886</v>
      </c>
      <c r="B1887" t="s">
        <v>1927</v>
      </c>
      <c r="C1887" t="s">
        <v>8</v>
      </c>
      <c r="D1887" t="s">
        <v>15</v>
      </c>
      <c r="E1887" t="s">
        <v>19</v>
      </c>
      <c r="F1887" t="s">
        <v>23</v>
      </c>
      <c r="G1887">
        <v>23</v>
      </c>
      <c r="H1887" s="13">
        <v>51017</v>
      </c>
      <c r="I1887" s="13">
        <v>14630</v>
      </c>
      <c r="J1887" t="s">
        <v>25</v>
      </c>
      <c r="K1887" s="13">
        <f>HR_Data[[#This Row],[Salary]]+HR_Data[[#This Row],[Bonus]]</f>
        <v>65647</v>
      </c>
    </row>
    <row r="1888" spans="1:11" x14ac:dyDescent="0.25">
      <c r="A1888">
        <v>2887</v>
      </c>
      <c r="B1888" t="s">
        <v>1928</v>
      </c>
      <c r="C1888" t="s">
        <v>10</v>
      </c>
      <c r="D1888" t="s">
        <v>14</v>
      </c>
      <c r="E1888" t="s">
        <v>17</v>
      </c>
      <c r="F1888" t="s">
        <v>23</v>
      </c>
      <c r="G1888">
        <v>36</v>
      </c>
      <c r="H1888" s="13">
        <v>118536</v>
      </c>
      <c r="I1888" s="13">
        <v>22256</v>
      </c>
      <c r="J1888" t="s">
        <v>26</v>
      </c>
      <c r="K1888" s="13">
        <f>HR_Data[[#This Row],[Salary]]+HR_Data[[#This Row],[Bonus]]</f>
        <v>140792</v>
      </c>
    </row>
    <row r="1889" spans="1:11" x14ac:dyDescent="0.25">
      <c r="A1889">
        <v>2888</v>
      </c>
      <c r="B1889" t="s">
        <v>1929</v>
      </c>
      <c r="C1889" t="s">
        <v>9</v>
      </c>
      <c r="D1889" t="s">
        <v>14</v>
      </c>
      <c r="E1889" t="s">
        <v>18</v>
      </c>
      <c r="F1889" t="s">
        <v>23</v>
      </c>
      <c r="G1889">
        <v>32</v>
      </c>
      <c r="H1889" s="13">
        <v>112038</v>
      </c>
      <c r="I1889" s="13">
        <v>6141</v>
      </c>
      <c r="J1889" t="s">
        <v>26</v>
      </c>
      <c r="K1889" s="13">
        <f>HR_Data[[#This Row],[Salary]]+HR_Data[[#This Row],[Bonus]]</f>
        <v>118179</v>
      </c>
    </row>
    <row r="1890" spans="1:11" x14ac:dyDescent="0.25">
      <c r="A1890">
        <v>2889</v>
      </c>
      <c r="B1890" t="s">
        <v>1930</v>
      </c>
      <c r="C1890" t="s">
        <v>8</v>
      </c>
      <c r="D1890" t="s">
        <v>14</v>
      </c>
      <c r="E1890" t="s">
        <v>16</v>
      </c>
      <c r="F1890" t="s">
        <v>23</v>
      </c>
      <c r="G1890">
        <v>55</v>
      </c>
      <c r="H1890" s="13">
        <v>50990</v>
      </c>
      <c r="I1890" s="13">
        <v>22049</v>
      </c>
      <c r="J1890" t="s">
        <v>25</v>
      </c>
      <c r="K1890" s="13">
        <f>HR_Data[[#This Row],[Salary]]+HR_Data[[#This Row],[Bonus]]</f>
        <v>73039</v>
      </c>
    </row>
    <row r="1891" spans="1:11" x14ac:dyDescent="0.25">
      <c r="A1891">
        <v>2890</v>
      </c>
      <c r="B1891" t="s">
        <v>1931</v>
      </c>
      <c r="C1891" t="s">
        <v>11</v>
      </c>
      <c r="D1891" t="s">
        <v>15</v>
      </c>
      <c r="E1891" t="s">
        <v>16</v>
      </c>
      <c r="F1891" t="s">
        <v>21</v>
      </c>
      <c r="G1891">
        <v>25</v>
      </c>
      <c r="H1891" s="13">
        <v>39515</v>
      </c>
      <c r="I1891" s="13">
        <v>13400</v>
      </c>
      <c r="J1891" t="s">
        <v>26</v>
      </c>
      <c r="K1891" s="13">
        <f>HR_Data[[#This Row],[Salary]]+HR_Data[[#This Row],[Bonus]]</f>
        <v>52915</v>
      </c>
    </row>
    <row r="1892" spans="1:11" x14ac:dyDescent="0.25">
      <c r="A1892">
        <v>2891</v>
      </c>
      <c r="B1892" t="s">
        <v>1932</v>
      </c>
      <c r="C1892" t="s">
        <v>12</v>
      </c>
      <c r="D1892" t="s">
        <v>14</v>
      </c>
      <c r="E1892" t="s">
        <v>18</v>
      </c>
      <c r="F1892" t="s">
        <v>23</v>
      </c>
      <c r="G1892">
        <v>32</v>
      </c>
      <c r="H1892" s="13">
        <v>49991</v>
      </c>
      <c r="I1892" s="13">
        <v>5951</v>
      </c>
      <c r="J1892" t="s">
        <v>25</v>
      </c>
      <c r="K1892" s="13">
        <f>HR_Data[[#This Row],[Salary]]+HR_Data[[#This Row],[Bonus]]</f>
        <v>55942</v>
      </c>
    </row>
    <row r="1893" spans="1:11" x14ac:dyDescent="0.25">
      <c r="A1893">
        <v>2892</v>
      </c>
      <c r="B1893" t="s">
        <v>1933</v>
      </c>
      <c r="C1893" t="s">
        <v>11</v>
      </c>
      <c r="D1893" t="s">
        <v>27</v>
      </c>
      <c r="E1893" t="s">
        <v>18</v>
      </c>
      <c r="F1893" t="s">
        <v>22</v>
      </c>
      <c r="G1893">
        <v>50</v>
      </c>
      <c r="H1893" s="13">
        <v>27634</v>
      </c>
      <c r="I1893" s="13">
        <v>14249</v>
      </c>
      <c r="J1893" t="s">
        <v>26</v>
      </c>
      <c r="K1893" s="13">
        <f>HR_Data[[#This Row],[Salary]]+HR_Data[[#This Row],[Bonus]]</f>
        <v>41883</v>
      </c>
    </row>
    <row r="1894" spans="1:11" x14ac:dyDescent="0.25">
      <c r="A1894">
        <v>2893</v>
      </c>
      <c r="B1894" t="s">
        <v>1934</v>
      </c>
      <c r="C1894" t="s">
        <v>11</v>
      </c>
      <c r="D1894" t="s">
        <v>27</v>
      </c>
      <c r="E1894" t="s">
        <v>17</v>
      </c>
      <c r="F1894" t="s">
        <v>24</v>
      </c>
      <c r="G1894">
        <v>23</v>
      </c>
      <c r="H1894" s="13">
        <v>97034</v>
      </c>
      <c r="I1894" s="13">
        <v>17936</v>
      </c>
      <c r="J1894" t="s">
        <v>26</v>
      </c>
      <c r="K1894" s="13">
        <f>HR_Data[[#This Row],[Salary]]+HR_Data[[#This Row],[Bonus]]</f>
        <v>114970</v>
      </c>
    </row>
    <row r="1895" spans="1:11" x14ac:dyDescent="0.25">
      <c r="A1895">
        <v>2894</v>
      </c>
      <c r="B1895" t="s">
        <v>1935</v>
      </c>
      <c r="C1895" t="s">
        <v>12</v>
      </c>
      <c r="D1895" t="s">
        <v>15</v>
      </c>
      <c r="E1895" t="s">
        <v>18</v>
      </c>
      <c r="F1895" t="s">
        <v>22</v>
      </c>
      <c r="G1895">
        <v>37</v>
      </c>
      <c r="H1895" s="13">
        <v>96452</v>
      </c>
      <c r="I1895" s="13">
        <v>19455</v>
      </c>
      <c r="J1895" t="s">
        <v>26</v>
      </c>
      <c r="K1895" s="13">
        <f>HR_Data[[#This Row],[Salary]]+HR_Data[[#This Row],[Bonus]]</f>
        <v>115907</v>
      </c>
    </row>
    <row r="1896" spans="1:11" x14ac:dyDescent="0.25">
      <c r="A1896">
        <v>2895</v>
      </c>
      <c r="B1896" t="s">
        <v>1936</v>
      </c>
      <c r="C1896" t="s">
        <v>11</v>
      </c>
      <c r="D1896" t="s">
        <v>15</v>
      </c>
      <c r="E1896" t="s">
        <v>19</v>
      </c>
      <c r="F1896" t="s">
        <v>23</v>
      </c>
      <c r="G1896">
        <v>34</v>
      </c>
      <c r="H1896" s="13">
        <v>49377</v>
      </c>
      <c r="I1896" s="13">
        <v>9722</v>
      </c>
      <c r="J1896" t="s">
        <v>25</v>
      </c>
      <c r="K1896" s="13">
        <f>HR_Data[[#This Row],[Salary]]+HR_Data[[#This Row],[Bonus]]</f>
        <v>59099</v>
      </c>
    </row>
    <row r="1897" spans="1:11" x14ac:dyDescent="0.25">
      <c r="A1897">
        <v>2896</v>
      </c>
      <c r="B1897" t="s">
        <v>1937</v>
      </c>
      <c r="C1897" t="s">
        <v>8</v>
      </c>
      <c r="D1897" t="s">
        <v>15</v>
      </c>
      <c r="E1897" t="s">
        <v>20</v>
      </c>
      <c r="F1897" t="s">
        <v>21</v>
      </c>
      <c r="G1897">
        <v>58</v>
      </c>
      <c r="H1897" s="13">
        <v>53001</v>
      </c>
      <c r="I1897" s="13">
        <v>17812</v>
      </c>
      <c r="J1897" t="s">
        <v>25</v>
      </c>
      <c r="K1897" s="13">
        <f>HR_Data[[#This Row],[Salary]]+HR_Data[[#This Row],[Bonus]]</f>
        <v>70813</v>
      </c>
    </row>
    <row r="1898" spans="1:11" x14ac:dyDescent="0.25">
      <c r="A1898">
        <v>2897</v>
      </c>
      <c r="B1898" t="s">
        <v>1938</v>
      </c>
      <c r="C1898" t="s">
        <v>8</v>
      </c>
      <c r="D1898" t="s">
        <v>15</v>
      </c>
      <c r="E1898" t="s">
        <v>18</v>
      </c>
      <c r="F1898" t="s">
        <v>23</v>
      </c>
      <c r="G1898">
        <v>38</v>
      </c>
      <c r="H1898" s="13">
        <v>21391</v>
      </c>
      <c r="I1898" s="13">
        <v>9008</v>
      </c>
      <c r="J1898" t="s">
        <v>26</v>
      </c>
      <c r="K1898" s="13">
        <f>HR_Data[[#This Row],[Salary]]+HR_Data[[#This Row],[Bonus]]</f>
        <v>30399</v>
      </c>
    </row>
    <row r="1899" spans="1:11" x14ac:dyDescent="0.25">
      <c r="A1899">
        <v>2898</v>
      </c>
      <c r="B1899" t="s">
        <v>1939</v>
      </c>
      <c r="C1899" t="s">
        <v>8</v>
      </c>
      <c r="D1899" t="s">
        <v>14</v>
      </c>
      <c r="E1899" t="s">
        <v>18</v>
      </c>
      <c r="F1899" t="s">
        <v>24</v>
      </c>
      <c r="G1899">
        <v>42</v>
      </c>
      <c r="H1899" s="13">
        <v>85206</v>
      </c>
      <c r="I1899" s="13">
        <v>15060</v>
      </c>
      <c r="J1899" t="s">
        <v>25</v>
      </c>
      <c r="K1899" s="13">
        <f>HR_Data[[#This Row],[Salary]]+HR_Data[[#This Row],[Bonus]]</f>
        <v>100266</v>
      </c>
    </row>
    <row r="1900" spans="1:11" x14ac:dyDescent="0.25">
      <c r="A1900">
        <v>2899</v>
      </c>
      <c r="B1900" t="s">
        <v>1940</v>
      </c>
      <c r="C1900" t="s">
        <v>12</v>
      </c>
      <c r="D1900" t="s">
        <v>14</v>
      </c>
      <c r="E1900" t="s">
        <v>19</v>
      </c>
      <c r="F1900" t="s">
        <v>22</v>
      </c>
      <c r="G1900">
        <v>40</v>
      </c>
      <c r="H1900" s="13">
        <v>62215</v>
      </c>
      <c r="I1900" s="13">
        <v>18056</v>
      </c>
      <c r="J1900" t="s">
        <v>25</v>
      </c>
      <c r="K1900" s="13">
        <f>HR_Data[[#This Row],[Salary]]+HR_Data[[#This Row],[Bonus]]</f>
        <v>80271</v>
      </c>
    </row>
    <row r="1901" spans="1:11" x14ac:dyDescent="0.25">
      <c r="A1901">
        <v>2900</v>
      </c>
      <c r="B1901" t="s">
        <v>1941</v>
      </c>
      <c r="C1901" t="s">
        <v>11</v>
      </c>
      <c r="D1901" t="s">
        <v>15</v>
      </c>
      <c r="E1901" t="s">
        <v>16</v>
      </c>
      <c r="F1901" t="s">
        <v>24</v>
      </c>
      <c r="G1901">
        <v>28</v>
      </c>
      <c r="H1901" s="13">
        <v>99720</v>
      </c>
      <c r="I1901" s="13">
        <v>11655</v>
      </c>
      <c r="J1901" t="s">
        <v>25</v>
      </c>
      <c r="K1901" s="13">
        <f>HR_Data[[#This Row],[Salary]]+HR_Data[[#This Row],[Bonus]]</f>
        <v>111375</v>
      </c>
    </row>
    <row r="1902" spans="1:11" x14ac:dyDescent="0.25">
      <c r="A1902">
        <v>2901</v>
      </c>
      <c r="B1902" t="s">
        <v>1942</v>
      </c>
      <c r="C1902" t="s">
        <v>12</v>
      </c>
      <c r="D1902" t="s">
        <v>15</v>
      </c>
      <c r="E1902" t="s">
        <v>16</v>
      </c>
      <c r="F1902" t="s">
        <v>24</v>
      </c>
      <c r="G1902">
        <v>59</v>
      </c>
      <c r="H1902" s="13">
        <v>47114</v>
      </c>
      <c r="I1902" s="13">
        <v>27574</v>
      </c>
      <c r="J1902" t="s">
        <v>25</v>
      </c>
      <c r="K1902" s="13">
        <f>HR_Data[[#This Row],[Salary]]+HR_Data[[#This Row],[Bonus]]</f>
        <v>74688</v>
      </c>
    </row>
    <row r="1903" spans="1:11" x14ac:dyDescent="0.25">
      <c r="A1903">
        <v>2902</v>
      </c>
      <c r="B1903" t="s">
        <v>1943</v>
      </c>
      <c r="C1903" t="s">
        <v>8</v>
      </c>
      <c r="D1903" t="s">
        <v>15</v>
      </c>
      <c r="E1903" t="s">
        <v>17</v>
      </c>
      <c r="F1903" t="s">
        <v>24</v>
      </c>
      <c r="G1903">
        <v>29</v>
      </c>
      <c r="H1903" s="13">
        <v>31882</v>
      </c>
      <c r="I1903" s="13">
        <v>22155</v>
      </c>
      <c r="J1903" t="s">
        <v>26</v>
      </c>
      <c r="K1903" s="13">
        <f>HR_Data[[#This Row],[Salary]]+HR_Data[[#This Row],[Bonus]]</f>
        <v>54037</v>
      </c>
    </row>
    <row r="1904" spans="1:11" x14ac:dyDescent="0.25">
      <c r="A1904">
        <v>2903</v>
      </c>
      <c r="B1904" t="s">
        <v>1944</v>
      </c>
      <c r="C1904" t="s">
        <v>11</v>
      </c>
      <c r="D1904" t="s">
        <v>27</v>
      </c>
      <c r="E1904" t="s">
        <v>19</v>
      </c>
      <c r="F1904" t="s">
        <v>22</v>
      </c>
      <c r="G1904">
        <v>34</v>
      </c>
      <c r="H1904" s="13">
        <v>37273</v>
      </c>
      <c r="I1904" s="13">
        <v>18027</v>
      </c>
      <c r="J1904" t="s">
        <v>25</v>
      </c>
      <c r="K1904" s="13">
        <f>HR_Data[[#This Row],[Salary]]+HR_Data[[#This Row],[Bonus]]</f>
        <v>55300</v>
      </c>
    </row>
    <row r="1905" spans="1:11" x14ac:dyDescent="0.25">
      <c r="A1905">
        <v>2904</v>
      </c>
      <c r="B1905" t="s">
        <v>1945</v>
      </c>
      <c r="C1905" t="s">
        <v>11</v>
      </c>
      <c r="D1905" t="s">
        <v>15</v>
      </c>
      <c r="E1905" t="s">
        <v>20</v>
      </c>
      <c r="F1905" t="s">
        <v>23</v>
      </c>
      <c r="G1905">
        <v>58</v>
      </c>
      <c r="H1905" s="13">
        <v>65647</v>
      </c>
      <c r="I1905" s="13">
        <v>9030</v>
      </c>
      <c r="J1905" t="s">
        <v>26</v>
      </c>
      <c r="K1905" s="13">
        <f>HR_Data[[#This Row],[Salary]]+HR_Data[[#This Row],[Bonus]]</f>
        <v>74677</v>
      </c>
    </row>
    <row r="1906" spans="1:11" x14ac:dyDescent="0.25">
      <c r="A1906">
        <v>2905</v>
      </c>
      <c r="B1906" t="s">
        <v>1946</v>
      </c>
      <c r="C1906" t="s">
        <v>2042</v>
      </c>
      <c r="D1906" t="s">
        <v>14</v>
      </c>
      <c r="E1906" t="s">
        <v>20</v>
      </c>
      <c r="F1906" t="s">
        <v>24</v>
      </c>
      <c r="G1906">
        <v>23</v>
      </c>
      <c r="H1906" s="13">
        <v>102665</v>
      </c>
      <c r="I1906" s="13">
        <v>29243</v>
      </c>
      <c r="J1906" t="s">
        <v>25</v>
      </c>
      <c r="K1906" s="13">
        <f>HR_Data[[#This Row],[Salary]]+HR_Data[[#This Row],[Bonus]]</f>
        <v>131908</v>
      </c>
    </row>
    <row r="1907" spans="1:11" x14ac:dyDescent="0.25">
      <c r="A1907">
        <v>2906</v>
      </c>
      <c r="B1907" t="s">
        <v>1947</v>
      </c>
      <c r="C1907" t="s">
        <v>2042</v>
      </c>
      <c r="D1907" t="s">
        <v>14</v>
      </c>
      <c r="E1907" t="s">
        <v>19</v>
      </c>
      <c r="F1907" t="s">
        <v>22</v>
      </c>
      <c r="G1907">
        <v>32</v>
      </c>
      <c r="H1907" s="13">
        <v>84892</v>
      </c>
      <c r="I1907" s="13">
        <v>5521</v>
      </c>
      <c r="J1907" t="s">
        <v>26</v>
      </c>
      <c r="K1907" s="13">
        <f>HR_Data[[#This Row],[Salary]]+HR_Data[[#This Row],[Bonus]]</f>
        <v>90413</v>
      </c>
    </row>
    <row r="1908" spans="1:11" x14ac:dyDescent="0.25">
      <c r="A1908">
        <v>2907</v>
      </c>
      <c r="B1908" t="s">
        <v>1948</v>
      </c>
      <c r="C1908" t="s">
        <v>10</v>
      </c>
      <c r="D1908" t="s">
        <v>14</v>
      </c>
      <c r="E1908" t="s">
        <v>20</v>
      </c>
      <c r="F1908" t="s">
        <v>21</v>
      </c>
      <c r="G1908">
        <v>45</v>
      </c>
      <c r="H1908" s="13">
        <v>62679</v>
      </c>
      <c r="I1908" s="13">
        <v>24739</v>
      </c>
      <c r="J1908" t="s">
        <v>25</v>
      </c>
      <c r="K1908" s="13">
        <f>HR_Data[[#This Row],[Salary]]+HR_Data[[#This Row],[Bonus]]</f>
        <v>87418</v>
      </c>
    </row>
    <row r="1909" spans="1:11" x14ac:dyDescent="0.25">
      <c r="A1909">
        <v>2908</v>
      </c>
      <c r="B1909" t="s">
        <v>1949</v>
      </c>
      <c r="C1909" t="s">
        <v>9</v>
      </c>
      <c r="D1909" t="s">
        <v>14</v>
      </c>
      <c r="E1909" t="s">
        <v>16</v>
      </c>
      <c r="F1909" t="s">
        <v>22</v>
      </c>
      <c r="G1909">
        <v>27</v>
      </c>
      <c r="H1909" s="13">
        <v>20427</v>
      </c>
      <c r="I1909" s="13">
        <v>6400</v>
      </c>
      <c r="J1909" t="s">
        <v>25</v>
      </c>
      <c r="K1909" s="13">
        <f>HR_Data[[#This Row],[Salary]]+HR_Data[[#This Row],[Bonus]]</f>
        <v>26827</v>
      </c>
    </row>
    <row r="1910" spans="1:11" x14ac:dyDescent="0.25">
      <c r="A1910">
        <v>2909</v>
      </c>
      <c r="B1910" t="s">
        <v>1950</v>
      </c>
      <c r="C1910" t="s">
        <v>2042</v>
      </c>
      <c r="D1910" t="s">
        <v>15</v>
      </c>
      <c r="E1910" t="s">
        <v>20</v>
      </c>
      <c r="F1910" t="s">
        <v>21</v>
      </c>
      <c r="G1910">
        <v>47</v>
      </c>
      <c r="H1910" s="13">
        <v>116952</v>
      </c>
      <c r="I1910" s="13">
        <v>16930</v>
      </c>
      <c r="J1910" t="s">
        <v>26</v>
      </c>
      <c r="K1910" s="13">
        <f>HR_Data[[#This Row],[Salary]]+HR_Data[[#This Row],[Bonus]]</f>
        <v>133882</v>
      </c>
    </row>
    <row r="1911" spans="1:11" x14ac:dyDescent="0.25">
      <c r="A1911">
        <v>2910</v>
      </c>
      <c r="B1911" t="s">
        <v>1951</v>
      </c>
      <c r="C1911" t="s">
        <v>12</v>
      </c>
      <c r="D1911" t="s">
        <v>14</v>
      </c>
      <c r="E1911" t="s">
        <v>20</v>
      </c>
      <c r="F1911" t="s">
        <v>22</v>
      </c>
      <c r="G1911">
        <v>28</v>
      </c>
      <c r="H1911" s="13">
        <v>86267</v>
      </c>
      <c r="I1911" s="13">
        <v>8723</v>
      </c>
      <c r="J1911" t="s">
        <v>25</v>
      </c>
      <c r="K1911" s="13">
        <f>HR_Data[[#This Row],[Salary]]+HR_Data[[#This Row],[Bonus]]</f>
        <v>94990</v>
      </c>
    </row>
    <row r="1912" spans="1:11" x14ac:dyDescent="0.25">
      <c r="A1912">
        <v>2911</v>
      </c>
      <c r="B1912" t="s">
        <v>1952</v>
      </c>
      <c r="C1912" t="s">
        <v>2042</v>
      </c>
      <c r="D1912" t="s">
        <v>15</v>
      </c>
      <c r="E1912" t="s">
        <v>19</v>
      </c>
      <c r="F1912" t="s">
        <v>23</v>
      </c>
      <c r="G1912">
        <v>40</v>
      </c>
      <c r="H1912" s="13">
        <v>20799</v>
      </c>
      <c r="I1912" s="13">
        <v>11579</v>
      </c>
      <c r="J1912" t="s">
        <v>25</v>
      </c>
      <c r="K1912" s="13">
        <f>HR_Data[[#This Row],[Salary]]+HR_Data[[#This Row],[Bonus]]</f>
        <v>32378</v>
      </c>
    </row>
    <row r="1913" spans="1:11" x14ac:dyDescent="0.25">
      <c r="A1913">
        <v>2912</v>
      </c>
      <c r="B1913" t="s">
        <v>1953</v>
      </c>
      <c r="C1913" t="s">
        <v>10</v>
      </c>
      <c r="D1913" t="s">
        <v>15</v>
      </c>
      <c r="E1913" t="s">
        <v>19</v>
      </c>
      <c r="F1913" t="s">
        <v>24</v>
      </c>
      <c r="G1913">
        <v>27</v>
      </c>
      <c r="H1913" s="13">
        <v>75659</v>
      </c>
      <c r="I1913" s="13">
        <v>24631</v>
      </c>
      <c r="J1913" t="s">
        <v>25</v>
      </c>
      <c r="K1913" s="13">
        <f>HR_Data[[#This Row],[Salary]]+HR_Data[[#This Row],[Bonus]]</f>
        <v>100290</v>
      </c>
    </row>
    <row r="1914" spans="1:11" x14ac:dyDescent="0.25">
      <c r="A1914">
        <v>2913</v>
      </c>
      <c r="B1914" t="s">
        <v>1954</v>
      </c>
      <c r="C1914" t="s">
        <v>27</v>
      </c>
      <c r="D1914" t="s">
        <v>15</v>
      </c>
      <c r="E1914" t="s">
        <v>20</v>
      </c>
      <c r="F1914" t="s">
        <v>23</v>
      </c>
      <c r="G1914">
        <v>50</v>
      </c>
      <c r="H1914" s="13">
        <v>114409</v>
      </c>
      <c r="I1914" s="13">
        <v>23242</v>
      </c>
      <c r="J1914" t="s">
        <v>25</v>
      </c>
      <c r="K1914" s="13">
        <f>HR_Data[[#This Row],[Salary]]+HR_Data[[#This Row],[Bonus]]</f>
        <v>137651</v>
      </c>
    </row>
    <row r="1915" spans="1:11" x14ac:dyDescent="0.25">
      <c r="A1915">
        <v>2914</v>
      </c>
      <c r="B1915" t="s">
        <v>1955</v>
      </c>
      <c r="C1915" t="s">
        <v>10</v>
      </c>
      <c r="D1915" t="s">
        <v>14</v>
      </c>
      <c r="E1915" t="s">
        <v>18</v>
      </c>
      <c r="F1915" t="s">
        <v>22</v>
      </c>
      <c r="G1915">
        <v>23</v>
      </c>
      <c r="H1915" s="13">
        <v>27025</v>
      </c>
      <c r="I1915" s="13">
        <v>9781</v>
      </c>
      <c r="J1915" t="s">
        <v>26</v>
      </c>
      <c r="K1915" s="13">
        <f>HR_Data[[#This Row],[Salary]]+HR_Data[[#This Row],[Bonus]]</f>
        <v>36806</v>
      </c>
    </row>
    <row r="1916" spans="1:11" x14ac:dyDescent="0.25">
      <c r="A1916">
        <v>2915</v>
      </c>
      <c r="B1916" t="s">
        <v>1956</v>
      </c>
      <c r="C1916" t="s">
        <v>11</v>
      </c>
      <c r="D1916" t="s">
        <v>15</v>
      </c>
      <c r="E1916" t="s">
        <v>19</v>
      </c>
      <c r="F1916" t="s">
        <v>24</v>
      </c>
      <c r="G1916">
        <v>40</v>
      </c>
      <c r="H1916" s="13">
        <v>34481</v>
      </c>
      <c r="I1916" s="13">
        <v>25448</v>
      </c>
      <c r="J1916" t="s">
        <v>25</v>
      </c>
      <c r="K1916" s="13">
        <f>HR_Data[[#This Row],[Salary]]+HR_Data[[#This Row],[Bonus]]</f>
        <v>59929</v>
      </c>
    </row>
    <row r="1917" spans="1:11" x14ac:dyDescent="0.25">
      <c r="A1917">
        <v>2916</v>
      </c>
      <c r="B1917" t="s">
        <v>1957</v>
      </c>
      <c r="C1917" t="s">
        <v>11</v>
      </c>
      <c r="D1917" t="s">
        <v>14</v>
      </c>
      <c r="E1917" t="s">
        <v>17</v>
      </c>
      <c r="F1917" t="s">
        <v>21</v>
      </c>
      <c r="G1917">
        <v>25</v>
      </c>
      <c r="H1917" s="13">
        <v>45411</v>
      </c>
      <c r="I1917" s="13">
        <v>17873</v>
      </c>
      <c r="J1917" t="s">
        <v>25</v>
      </c>
      <c r="K1917" s="13">
        <f>HR_Data[[#This Row],[Salary]]+HR_Data[[#This Row],[Bonus]]</f>
        <v>63284</v>
      </c>
    </row>
    <row r="1918" spans="1:11" x14ac:dyDescent="0.25">
      <c r="A1918">
        <v>2917</v>
      </c>
      <c r="B1918" t="s">
        <v>1958</v>
      </c>
      <c r="C1918" t="s">
        <v>9</v>
      </c>
      <c r="D1918" t="s">
        <v>14</v>
      </c>
      <c r="E1918" t="s">
        <v>17</v>
      </c>
      <c r="F1918" t="s">
        <v>22</v>
      </c>
      <c r="G1918">
        <v>27</v>
      </c>
      <c r="H1918" s="13">
        <v>116894</v>
      </c>
      <c r="I1918" s="13">
        <v>23782</v>
      </c>
      <c r="J1918" t="s">
        <v>25</v>
      </c>
      <c r="K1918" s="13">
        <f>HR_Data[[#This Row],[Salary]]+HR_Data[[#This Row],[Bonus]]</f>
        <v>140676</v>
      </c>
    </row>
    <row r="1919" spans="1:11" x14ac:dyDescent="0.25">
      <c r="A1919">
        <v>2918</v>
      </c>
      <c r="B1919" t="s">
        <v>1959</v>
      </c>
      <c r="C1919" t="s">
        <v>2042</v>
      </c>
      <c r="D1919" t="s">
        <v>15</v>
      </c>
      <c r="E1919" t="s">
        <v>16</v>
      </c>
      <c r="F1919" t="s">
        <v>24</v>
      </c>
      <c r="G1919">
        <v>58</v>
      </c>
      <c r="H1919" s="13">
        <v>34961</v>
      </c>
      <c r="I1919" s="13">
        <v>21526</v>
      </c>
      <c r="J1919" t="s">
        <v>25</v>
      </c>
      <c r="K1919" s="13">
        <f>HR_Data[[#This Row],[Salary]]+HR_Data[[#This Row],[Bonus]]</f>
        <v>56487</v>
      </c>
    </row>
    <row r="1920" spans="1:11" x14ac:dyDescent="0.25">
      <c r="A1920">
        <v>2919</v>
      </c>
      <c r="B1920" t="s">
        <v>1960</v>
      </c>
      <c r="C1920" t="s">
        <v>12</v>
      </c>
      <c r="D1920" t="s">
        <v>15</v>
      </c>
      <c r="E1920" t="s">
        <v>20</v>
      </c>
      <c r="F1920" t="s">
        <v>21</v>
      </c>
      <c r="G1920">
        <v>49</v>
      </c>
      <c r="H1920" s="13">
        <v>41767</v>
      </c>
      <c r="I1920" s="13">
        <v>26446</v>
      </c>
      <c r="J1920" t="s">
        <v>25</v>
      </c>
      <c r="K1920" s="13">
        <f>HR_Data[[#This Row],[Salary]]+HR_Data[[#This Row],[Bonus]]</f>
        <v>68213</v>
      </c>
    </row>
    <row r="1921" spans="1:11" x14ac:dyDescent="0.25">
      <c r="A1921">
        <v>2920</v>
      </c>
      <c r="B1921" t="s">
        <v>1961</v>
      </c>
      <c r="C1921" t="s">
        <v>12</v>
      </c>
      <c r="D1921" t="s">
        <v>15</v>
      </c>
      <c r="E1921" t="s">
        <v>18</v>
      </c>
      <c r="F1921" t="s">
        <v>21</v>
      </c>
      <c r="G1921">
        <v>51</v>
      </c>
      <c r="H1921" s="13">
        <v>71690</v>
      </c>
      <c r="I1921" s="13">
        <v>16043</v>
      </c>
      <c r="J1921" t="s">
        <v>25</v>
      </c>
      <c r="K1921" s="13">
        <f>HR_Data[[#This Row],[Salary]]+HR_Data[[#This Row],[Bonus]]</f>
        <v>87733</v>
      </c>
    </row>
    <row r="1922" spans="1:11" x14ac:dyDescent="0.25">
      <c r="A1922">
        <v>2921</v>
      </c>
      <c r="B1922" t="s">
        <v>1962</v>
      </c>
      <c r="C1922" t="s">
        <v>8</v>
      </c>
      <c r="D1922" t="s">
        <v>14</v>
      </c>
      <c r="E1922" t="s">
        <v>16</v>
      </c>
      <c r="F1922" t="s">
        <v>23</v>
      </c>
      <c r="G1922">
        <v>28</v>
      </c>
      <c r="H1922" s="13">
        <v>72870</v>
      </c>
      <c r="I1922" s="13">
        <v>24853</v>
      </c>
      <c r="J1922" t="s">
        <v>25</v>
      </c>
      <c r="K1922" s="13">
        <f>HR_Data[[#This Row],[Salary]]+HR_Data[[#This Row],[Bonus]]</f>
        <v>97723</v>
      </c>
    </row>
    <row r="1923" spans="1:11" x14ac:dyDescent="0.25">
      <c r="A1923">
        <v>2922</v>
      </c>
      <c r="B1923" t="s">
        <v>1963</v>
      </c>
      <c r="C1923" t="s">
        <v>11</v>
      </c>
      <c r="D1923" t="s">
        <v>15</v>
      </c>
      <c r="E1923" t="s">
        <v>20</v>
      </c>
      <c r="F1923" t="s">
        <v>22</v>
      </c>
      <c r="G1923">
        <v>30</v>
      </c>
      <c r="H1923" s="13">
        <v>56135</v>
      </c>
      <c r="I1923" s="13">
        <v>21375</v>
      </c>
      <c r="J1923" t="s">
        <v>25</v>
      </c>
      <c r="K1923" s="13">
        <f>HR_Data[[#This Row],[Salary]]+HR_Data[[#This Row],[Bonus]]</f>
        <v>77510</v>
      </c>
    </row>
    <row r="1924" spans="1:11" x14ac:dyDescent="0.25">
      <c r="A1924">
        <v>2923</v>
      </c>
      <c r="B1924" t="s">
        <v>1964</v>
      </c>
      <c r="C1924" t="s">
        <v>12</v>
      </c>
      <c r="D1924" t="s">
        <v>14</v>
      </c>
      <c r="E1924" t="s">
        <v>19</v>
      </c>
      <c r="F1924" t="s">
        <v>21</v>
      </c>
      <c r="G1924">
        <v>46</v>
      </c>
      <c r="H1924" s="13">
        <v>84514</v>
      </c>
      <c r="I1924" s="13">
        <v>25079</v>
      </c>
      <c r="J1924" t="s">
        <v>25</v>
      </c>
      <c r="K1924" s="13">
        <f>HR_Data[[#This Row],[Salary]]+HR_Data[[#This Row],[Bonus]]</f>
        <v>109593</v>
      </c>
    </row>
    <row r="1925" spans="1:11" x14ac:dyDescent="0.25">
      <c r="A1925">
        <v>2924</v>
      </c>
      <c r="B1925" t="s">
        <v>1965</v>
      </c>
      <c r="C1925" t="s">
        <v>9</v>
      </c>
      <c r="D1925" t="s">
        <v>15</v>
      </c>
      <c r="E1925" t="s">
        <v>17</v>
      </c>
      <c r="F1925" t="s">
        <v>24</v>
      </c>
      <c r="G1925">
        <v>54</v>
      </c>
      <c r="H1925" s="13">
        <v>106928</v>
      </c>
      <c r="I1925" s="13">
        <v>22101</v>
      </c>
      <c r="J1925" t="s">
        <v>25</v>
      </c>
      <c r="K1925" s="13">
        <f>HR_Data[[#This Row],[Salary]]+HR_Data[[#This Row],[Bonus]]</f>
        <v>129029</v>
      </c>
    </row>
    <row r="1926" spans="1:11" x14ac:dyDescent="0.25">
      <c r="A1926">
        <v>2925</v>
      </c>
      <c r="B1926" t="s">
        <v>1966</v>
      </c>
      <c r="C1926" t="s">
        <v>11</v>
      </c>
      <c r="D1926" t="s">
        <v>15</v>
      </c>
      <c r="E1926" t="s">
        <v>18</v>
      </c>
      <c r="F1926" t="s">
        <v>21</v>
      </c>
      <c r="G1926">
        <v>22</v>
      </c>
      <c r="H1926" s="13">
        <v>98798</v>
      </c>
      <c r="I1926" s="13">
        <v>5642</v>
      </c>
      <c r="J1926" t="s">
        <v>26</v>
      </c>
      <c r="K1926" s="13">
        <f>HR_Data[[#This Row],[Salary]]+HR_Data[[#This Row],[Bonus]]</f>
        <v>104440</v>
      </c>
    </row>
    <row r="1927" spans="1:11" x14ac:dyDescent="0.25">
      <c r="A1927">
        <v>2926</v>
      </c>
      <c r="B1927" t="s">
        <v>1967</v>
      </c>
      <c r="C1927" t="s">
        <v>27</v>
      </c>
      <c r="D1927" t="s">
        <v>14</v>
      </c>
      <c r="E1927" t="s">
        <v>17</v>
      </c>
      <c r="F1927" t="s">
        <v>21</v>
      </c>
      <c r="G1927">
        <v>27</v>
      </c>
      <c r="H1927" s="13">
        <v>90765</v>
      </c>
      <c r="I1927" s="13">
        <v>23932</v>
      </c>
      <c r="J1927" t="s">
        <v>25</v>
      </c>
      <c r="K1927" s="13">
        <f>HR_Data[[#This Row],[Salary]]+HR_Data[[#This Row],[Bonus]]</f>
        <v>114697</v>
      </c>
    </row>
    <row r="1928" spans="1:11" x14ac:dyDescent="0.25">
      <c r="A1928">
        <v>2927</v>
      </c>
      <c r="B1928" t="s">
        <v>1968</v>
      </c>
      <c r="C1928" t="s">
        <v>12</v>
      </c>
      <c r="D1928" t="s">
        <v>14</v>
      </c>
      <c r="E1928" t="s">
        <v>19</v>
      </c>
      <c r="F1928" t="s">
        <v>23</v>
      </c>
      <c r="G1928">
        <v>39</v>
      </c>
      <c r="H1928" s="13">
        <v>43772</v>
      </c>
      <c r="I1928" s="13">
        <v>16885</v>
      </c>
      <c r="J1928" t="s">
        <v>26</v>
      </c>
      <c r="K1928" s="13">
        <f>HR_Data[[#This Row],[Salary]]+HR_Data[[#This Row],[Bonus]]</f>
        <v>60657</v>
      </c>
    </row>
    <row r="1929" spans="1:11" x14ac:dyDescent="0.25">
      <c r="A1929">
        <v>2928</v>
      </c>
      <c r="B1929" t="s">
        <v>1969</v>
      </c>
      <c r="C1929" t="s">
        <v>12</v>
      </c>
      <c r="D1929" t="s">
        <v>14</v>
      </c>
      <c r="E1929" t="s">
        <v>20</v>
      </c>
      <c r="F1929" t="s">
        <v>23</v>
      </c>
      <c r="G1929">
        <v>31</v>
      </c>
      <c r="H1929" s="13">
        <v>38799</v>
      </c>
      <c r="I1929" s="13">
        <v>29945</v>
      </c>
      <c r="J1929" t="s">
        <v>25</v>
      </c>
      <c r="K1929" s="13">
        <f>HR_Data[[#This Row],[Salary]]+HR_Data[[#This Row],[Bonus]]</f>
        <v>68744</v>
      </c>
    </row>
    <row r="1930" spans="1:11" x14ac:dyDescent="0.25">
      <c r="A1930">
        <v>2929</v>
      </c>
      <c r="B1930" t="s">
        <v>1970</v>
      </c>
      <c r="C1930" t="s">
        <v>8</v>
      </c>
      <c r="D1930" t="s">
        <v>14</v>
      </c>
      <c r="E1930" t="s">
        <v>19</v>
      </c>
      <c r="F1930" t="s">
        <v>24</v>
      </c>
      <c r="G1930">
        <v>49</v>
      </c>
      <c r="H1930" s="13">
        <v>43555</v>
      </c>
      <c r="I1930" s="13">
        <v>25034</v>
      </c>
      <c r="J1930" t="s">
        <v>25</v>
      </c>
      <c r="K1930" s="13">
        <f>HR_Data[[#This Row],[Salary]]+HR_Data[[#This Row],[Bonus]]</f>
        <v>68589</v>
      </c>
    </row>
    <row r="1931" spans="1:11" x14ac:dyDescent="0.25">
      <c r="A1931">
        <v>2930</v>
      </c>
      <c r="B1931" t="s">
        <v>1971</v>
      </c>
      <c r="C1931" t="s">
        <v>12</v>
      </c>
      <c r="D1931" t="s">
        <v>14</v>
      </c>
      <c r="E1931" t="s">
        <v>19</v>
      </c>
      <c r="F1931" t="s">
        <v>23</v>
      </c>
      <c r="G1931">
        <v>32</v>
      </c>
      <c r="H1931" s="13">
        <v>69554.53</v>
      </c>
      <c r="I1931" s="13">
        <v>12549</v>
      </c>
      <c r="J1931" t="s">
        <v>25</v>
      </c>
      <c r="K1931" s="13">
        <f>HR_Data[[#This Row],[Salary]]+HR_Data[[#This Row],[Bonus]]</f>
        <v>82103.53</v>
      </c>
    </row>
    <row r="1932" spans="1:11" x14ac:dyDescent="0.25">
      <c r="A1932">
        <v>2931</v>
      </c>
      <c r="B1932" t="s">
        <v>1972</v>
      </c>
      <c r="C1932" t="s">
        <v>11</v>
      </c>
      <c r="D1932" t="s">
        <v>14</v>
      </c>
      <c r="E1932" t="s">
        <v>17</v>
      </c>
      <c r="F1932" t="s">
        <v>21</v>
      </c>
      <c r="G1932">
        <v>54</v>
      </c>
      <c r="H1932" s="13">
        <v>39333</v>
      </c>
      <c r="I1932" s="13">
        <v>18397</v>
      </c>
      <c r="J1932" t="s">
        <v>25</v>
      </c>
      <c r="K1932" s="13">
        <f>HR_Data[[#This Row],[Salary]]+HR_Data[[#This Row],[Bonus]]</f>
        <v>57730</v>
      </c>
    </row>
    <row r="1933" spans="1:11" x14ac:dyDescent="0.25">
      <c r="A1933">
        <v>2932</v>
      </c>
      <c r="B1933" t="s">
        <v>1973</v>
      </c>
      <c r="C1933" t="s">
        <v>11</v>
      </c>
      <c r="D1933" t="s">
        <v>15</v>
      </c>
      <c r="E1933" t="s">
        <v>18</v>
      </c>
      <c r="F1933" t="s">
        <v>21</v>
      </c>
      <c r="G1933">
        <v>22</v>
      </c>
      <c r="H1933" s="13">
        <v>24261</v>
      </c>
      <c r="I1933" s="13">
        <v>20074</v>
      </c>
      <c r="J1933" t="s">
        <v>25</v>
      </c>
      <c r="K1933" s="13">
        <f>HR_Data[[#This Row],[Salary]]+HR_Data[[#This Row],[Bonus]]</f>
        <v>44335</v>
      </c>
    </row>
    <row r="1934" spans="1:11" x14ac:dyDescent="0.25">
      <c r="A1934">
        <v>2933</v>
      </c>
      <c r="B1934" t="s">
        <v>1974</v>
      </c>
      <c r="C1934" t="s">
        <v>11</v>
      </c>
      <c r="D1934" t="s">
        <v>15</v>
      </c>
      <c r="E1934" t="s">
        <v>19</v>
      </c>
      <c r="F1934" t="s">
        <v>23</v>
      </c>
      <c r="G1934">
        <v>34</v>
      </c>
      <c r="H1934" s="13">
        <v>89002</v>
      </c>
      <c r="I1934" s="13">
        <v>18771</v>
      </c>
      <c r="J1934" t="s">
        <v>25</v>
      </c>
      <c r="K1934" s="13">
        <f>HR_Data[[#This Row],[Salary]]+HR_Data[[#This Row],[Bonus]]</f>
        <v>107773</v>
      </c>
    </row>
    <row r="1935" spans="1:11" x14ac:dyDescent="0.25">
      <c r="A1935">
        <v>2934</v>
      </c>
      <c r="B1935" t="s">
        <v>1975</v>
      </c>
      <c r="C1935" t="s">
        <v>8</v>
      </c>
      <c r="D1935" t="s">
        <v>14</v>
      </c>
      <c r="E1935" t="s">
        <v>17</v>
      </c>
      <c r="F1935" t="s">
        <v>21</v>
      </c>
      <c r="G1935">
        <v>58</v>
      </c>
      <c r="H1935" s="13">
        <v>66553</v>
      </c>
      <c r="I1935" s="13">
        <v>5949</v>
      </c>
      <c r="J1935" t="s">
        <v>25</v>
      </c>
      <c r="K1935" s="13">
        <f>HR_Data[[#This Row],[Salary]]+HR_Data[[#This Row],[Bonus]]</f>
        <v>72502</v>
      </c>
    </row>
    <row r="1936" spans="1:11" x14ac:dyDescent="0.25">
      <c r="A1936">
        <v>2935</v>
      </c>
      <c r="B1936" t="s">
        <v>1976</v>
      </c>
      <c r="C1936" t="s">
        <v>8</v>
      </c>
      <c r="D1936" t="s">
        <v>15</v>
      </c>
      <c r="E1936" t="s">
        <v>18</v>
      </c>
      <c r="F1936" t="s">
        <v>21</v>
      </c>
      <c r="G1936">
        <v>41</v>
      </c>
      <c r="H1936" s="13">
        <v>23088</v>
      </c>
      <c r="I1936" s="13">
        <v>26828</v>
      </c>
      <c r="J1936" t="s">
        <v>25</v>
      </c>
      <c r="K1936" s="13">
        <f>HR_Data[[#This Row],[Salary]]+HR_Data[[#This Row],[Bonus]]</f>
        <v>49916</v>
      </c>
    </row>
    <row r="1937" spans="1:11" x14ac:dyDescent="0.25">
      <c r="A1937">
        <v>2936</v>
      </c>
      <c r="B1937" t="s">
        <v>1977</v>
      </c>
      <c r="C1937" t="s">
        <v>12</v>
      </c>
      <c r="D1937" t="s">
        <v>14</v>
      </c>
      <c r="E1937" t="s">
        <v>20</v>
      </c>
      <c r="F1937" t="s">
        <v>24</v>
      </c>
      <c r="G1937">
        <v>22</v>
      </c>
      <c r="H1937" s="13">
        <v>65783</v>
      </c>
      <c r="I1937" s="13">
        <v>21905</v>
      </c>
      <c r="J1937" t="s">
        <v>25</v>
      </c>
      <c r="K1937" s="13">
        <f>HR_Data[[#This Row],[Salary]]+HR_Data[[#This Row],[Bonus]]</f>
        <v>87688</v>
      </c>
    </row>
    <row r="1938" spans="1:11" x14ac:dyDescent="0.25">
      <c r="A1938">
        <v>2937</v>
      </c>
      <c r="B1938" t="s">
        <v>1978</v>
      </c>
      <c r="C1938" t="s">
        <v>10</v>
      </c>
      <c r="D1938" t="s">
        <v>15</v>
      </c>
      <c r="E1938" t="s">
        <v>20</v>
      </c>
      <c r="F1938" t="s">
        <v>23</v>
      </c>
      <c r="G1938">
        <v>24</v>
      </c>
      <c r="H1938" s="13">
        <v>21115</v>
      </c>
      <c r="I1938" s="13">
        <v>28016</v>
      </c>
      <c r="J1938" t="s">
        <v>25</v>
      </c>
      <c r="K1938" s="13">
        <f>HR_Data[[#This Row],[Salary]]+HR_Data[[#This Row],[Bonus]]</f>
        <v>49131</v>
      </c>
    </row>
    <row r="1939" spans="1:11" x14ac:dyDescent="0.25">
      <c r="A1939">
        <v>2938</v>
      </c>
      <c r="B1939" t="s">
        <v>1979</v>
      </c>
      <c r="C1939" t="s">
        <v>10</v>
      </c>
      <c r="D1939" t="s">
        <v>15</v>
      </c>
      <c r="E1939" t="s">
        <v>16</v>
      </c>
      <c r="F1939" t="s">
        <v>21</v>
      </c>
      <c r="G1939">
        <v>39</v>
      </c>
      <c r="H1939" s="13">
        <v>90114</v>
      </c>
      <c r="I1939" s="13">
        <v>27432</v>
      </c>
      <c r="J1939" t="s">
        <v>25</v>
      </c>
      <c r="K1939" s="13">
        <f>HR_Data[[#This Row],[Salary]]+HR_Data[[#This Row],[Bonus]]</f>
        <v>117546</v>
      </c>
    </row>
    <row r="1940" spans="1:11" x14ac:dyDescent="0.25">
      <c r="A1940">
        <v>2939</v>
      </c>
      <c r="B1940" t="s">
        <v>1980</v>
      </c>
      <c r="C1940" t="s">
        <v>8</v>
      </c>
      <c r="D1940" t="s">
        <v>14</v>
      </c>
      <c r="E1940" t="s">
        <v>17</v>
      </c>
      <c r="F1940" t="s">
        <v>23</v>
      </c>
      <c r="G1940">
        <v>35</v>
      </c>
      <c r="H1940" s="13">
        <v>88126</v>
      </c>
      <c r="I1940" s="13">
        <v>19732</v>
      </c>
      <c r="J1940" t="s">
        <v>26</v>
      </c>
      <c r="K1940" s="13">
        <f>HR_Data[[#This Row],[Salary]]+HR_Data[[#This Row],[Bonus]]</f>
        <v>107858</v>
      </c>
    </row>
    <row r="1941" spans="1:11" x14ac:dyDescent="0.25">
      <c r="A1941">
        <v>2940</v>
      </c>
      <c r="B1941" t="s">
        <v>1981</v>
      </c>
      <c r="C1941" t="s">
        <v>12</v>
      </c>
      <c r="D1941" t="s">
        <v>14</v>
      </c>
      <c r="E1941" t="s">
        <v>18</v>
      </c>
      <c r="F1941" t="s">
        <v>24</v>
      </c>
      <c r="G1941">
        <v>52</v>
      </c>
      <c r="H1941" s="13">
        <v>92908</v>
      </c>
      <c r="I1941" s="13">
        <v>21738</v>
      </c>
      <c r="J1941" t="s">
        <v>25</v>
      </c>
      <c r="K1941" s="13">
        <f>HR_Data[[#This Row],[Salary]]+HR_Data[[#This Row],[Bonus]]</f>
        <v>114646</v>
      </c>
    </row>
    <row r="1942" spans="1:11" x14ac:dyDescent="0.25">
      <c r="A1942">
        <v>2941</v>
      </c>
      <c r="B1942" t="s">
        <v>1982</v>
      </c>
      <c r="C1942" t="s">
        <v>10</v>
      </c>
      <c r="D1942" t="s">
        <v>14</v>
      </c>
      <c r="E1942" t="s">
        <v>19</v>
      </c>
      <c r="F1942" t="s">
        <v>23</v>
      </c>
      <c r="G1942">
        <v>48</v>
      </c>
      <c r="H1942" s="13">
        <v>89109</v>
      </c>
      <c r="I1942" s="13">
        <v>22866</v>
      </c>
      <c r="J1942" t="s">
        <v>26</v>
      </c>
      <c r="K1942" s="13">
        <f>HR_Data[[#This Row],[Salary]]+HR_Data[[#This Row],[Bonus]]</f>
        <v>111975</v>
      </c>
    </row>
    <row r="1943" spans="1:11" x14ac:dyDescent="0.25">
      <c r="A1943">
        <v>2942</v>
      </c>
      <c r="B1943" t="s">
        <v>1983</v>
      </c>
      <c r="C1943" t="s">
        <v>12</v>
      </c>
      <c r="D1943" t="s">
        <v>15</v>
      </c>
      <c r="E1943" t="s">
        <v>20</v>
      </c>
      <c r="F1943" t="s">
        <v>21</v>
      </c>
      <c r="G1943">
        <v>38</v>
      </c>
      <c r="H1943" s="13">
        <v>22978</v>
      </c>
      <c r="I1943" s="13">
        <v>14839</v>
      </c>
      <c r="J1943" t="s">
        <v>25</v>
      </c>
      <c r="K1943" s="13">
        <f>HR_Data[[#This Row],[Salary]]+HR_Data[[#This Row],[Bonus]]</f>
        <v>37817</v>
      </c>
    </row>
    <row r="1944" spans="1:11" x14ac:dyDescent="0.25">
      <c r="A1944">
        <v>2943</v>
      </c>
      <c r="B1944" t="s">
        <v>1984</v>
      </c>
      <c r="C1944" t="s">
        <v>12</v>
      </c>
      <c r="D1944" t="s">
        <v>14</v>
      </c>
      <c r="E1944" t="s">
        <v>18</v>
      </c>
      <c r="F1944" t="s">
        <v>23</v>
      </c>
      <c r="G1944">
        <v>50</v>
      </c>
      <c r="H1944" s="13">
        <v>29422</v>
      </c>
      <c r="I1944" s="13">
        <v>17823</v>
      </c>
      <c r="J1944" t="s">
        <v>25</v>
      </c>
      <c r="K1944" s="13">
        <f>HR_Data[[#This Row],[Salary]]+HR_Data[[#This Row],[Bonus]]</f>
        <v>47245</v>
      </c>
    </row>
    <row r="1945" spans="1:11" x14ac:dyDescent="0.25">
      <c r="A1945">
        <v>2944</v>
      </c>
      <c r="B1945" t="s">
        <v>1985</v>
      </c>
      <c r="C1945" t="s">
        <v>12</v>
      </c>
      <c r="D1945" t="s">
        <v>15</v>
      </c>
      <c r="E1945" t="s">
        <v>17</v>
      </c>
      <c r="F1945" t="s">
        <v>21</v>
      </c>
      <c r="G1945">
        <v>57</v>
      </c>
      <c r="H1945" s="13">
        <v>63626</v>
      </c>
      <c r="I1945" s="13">
        <v>28378</v>
      </c>
      <c r="J1945" t="s">
        <v>25</v>
      </c>
      <c r="K1945" s="13">
        <f>HR_Data[[#This Row],[Salary]]+HR_Data[[#This Row],[Bonus]]</f>
        <v>92004</v>
      </c>
    </row>
    <row r="1946" spans="1:11" x14ac:dyDescent="0.25">
      <c r="A1946">
        <v>2945</v>
      </c>
      <c r="B1946" t="s">
        <v>1986</v>
      </c>
      <c r="C1946" t="s">
        <v>2042</v>
      </c>
      <c r="D1946" t="s">
        <v>14</v>
      </c>
      <c r="E1946" t="s">
        <v>16</v>
      </c>
      <c r="F1946" t="s">
        <v>21</v>
      </c>
      <c r="G1946">
        <v>58</v>
      </c>
      <c r="H1946" s="13">
        <v>109233</v>
      </c>
      <c r="I1946" s="13">
        <v>23599</v>
      </c>
      <c r="J1946" t="s">
        <v>25</v>
      </c>
      <c r="K1946" s="13">
        <f>HR_Data[[#This Row],[Salary]]+HR_Data[[#This Row],[Bonus]]</f>
        <v>132832</v>
      </c>
    </row>
    <row r="1947" spans="1:11" x14ac:dyDescent="0.25">
      <c r="A1947">
        <v>2946</v>
      </c>
      <c r="B1947" t="s">
        <v>1987</v>
      </c>
      <c r="C1947" t="s">
        <v>11</v>
      </c>
      <c r="D1947" t="s">
        <v>15</v>
      </c>
      <c r="E1947" t="s">
        <v>20</v>
      </c>
      <c r="F1947" t="s">
        <v>21</v>
      </c>
      <c r="G1947">
        <v>47</v>
      </c>
      <c r="H1947" s="13">
        <v>76174</v>
      </c>
      <c r="I1947" s="13">
        <v>26100</v>
      </c>
      <c r="J1947" t="s">
        <v>25</v>
      </c>
      <c r="K1947" s="13">
        <f>HR_Data[[#This Row],[Salary]]+HR_Data[[#This Row],[Bonus]]</f>
        <v>102274</v>
      </c>
    </row>
    <row r="1948" spans="1:11" x14ac:dyDescent="0.25">
      <c r="A1948">
        <v>2947</v>
      </c>
      <c r="B1948" t="s">
        <v>1988</v>
      </c>
      <c r="C1948" t="s">
        <v>12</v>
      </c>
      <c r="D1948" t="s">
        <v>15</v>
      </c>
      <c r="E1948" t="s">
        <v>18</v>
      </c>
      <c r="F1948" t="s">
        <v>24</v>
      </c>
      <c r="G1948">
        <v>38</v>
      </c>
      <c r="H1948" s="13">
        <v>116356</v>
      </c>
      <c r="I1948" s="13">
        <v>27205</v>
      </c>
      <c r="J1948" t="s">
        <v>25</v>
      </c>
      <c r="K1948" s="13">
        <f>HR_Data[[#This Row],[Salary]]+HR_Data[[#This Row],[Bonus]]</f>
        <v>143561</v>
      </c>
    </row>
    <row r="1949" spans="1:11" x14ac:dyDescent="0.25">
      <c r="A1949">
        <v>2948</v>
      </c>
      <c r="B1949" t="s">
        <v>1989</v>
      </c>
      <c r="C1949" t="s">
        <v>2042</v>
      </c>
      <c r="D1949" t="s">
        <v>14</v>
      </c>
      <c r="E1949" t="s">
        <v>18</v>
      </c>
      <c r="F1949" t="s">
        <v>23</v>
      </c>
      <c r="G1949">
        <v>43</v>
      </c>
      <c r="H1949" s="13">
        <v>69554.53</v>
      </c>
      <c r="I1949" s="13">
        <v>23921</v>
      </c>
      <c r="J1949" t="s">
        <v>25</v>
      </c>
      <c r="K1949" s="13">
        <f>HR_Data[[#This Row],[Salary]]+HR_Data[[#This Row],[Bonus]]</f>
        <v>93475.53</v>
      </c>
    </row>
    <row r="1950" spans="1:11" x14ac:dyDescent="0.25">
      <c r="A1950">
        <v>2949</v>
      </c>
      <c r="B1950" t="s">
        <v>1990</v>
      </c>
      <c r="C1950" t="s">
        <v>8</v>
      </c>
      <c r="D1950" t="s">
        <v>15</v>
      </c>
      <c r="E1950" t="s">
        <v>18</v>
      </c>
      <c r="F1950" t="s">
        <v>24</v>
      </c>
      <c r="G1950">
        <v>46</v>
      </c>
      <c r="H1950" s="13">
        <v>90461</v>
      </c>
      <c r="I1950" s="13">
        <v>19690</v>
      </c>
      <c r="J1950" t="s">
        <v>25</v>
      </c>
      <c r="K1950" s="13">
        <f>HR_Data[[#This Row],[Salary]]+HR_Data[[#This Row],[Bonus]]</f>
        <v>110151</v>
      </c>
    </row>
    <row r="1951" spans="1:11" x14ac:dyDescent="0.25">
      <c r="A1951">
        <v>2950</v>
      </c>
      <c r="B1951" t="s">
        <v>1991</v>
      </c>
      <c r="C1951" t="s">
        <v>10</v>
      </c>
      <c r="D1951" t="s">
        <v>15</v>
      </c>
      <c r="E1951" t="s">
        <v>17</v>
      </c>
      <c r="F1951" t="s">
        <v>23</v>
      </c>
      <c r="G1951">
        <v>23</v>
      </c>
      <c r="H1951" s="13">
        <v>77199</v>
      </c>
      <c r="I1951" s="13">
        <v>11339</v>
      </c>
      <c r="J1951" t="s">
        <v>25</v>
      </c>
      <c r="K1951" s="13">
        <f>HR_Data[[#This Row],[Salary]]+HR_Data[[#This Row],[Bonus]]</f>
        <v>88538</v>
      </c>
    </row>
    <row r="1952" spans="1:11" x14ac:dyDescent="0.25">
      <c r="A1952">
        <v>2951</v>
      </c>
      <c r="B1952" t="s">
        <v>1992</v>
      </c>
      <c r="C1952" t="s">
        <v>11</v>
      </c>
      <c r="D1952" t="s">
        <v>14</v>
      </c>
      <c r="E1952" t="s">
        <v>17</v>
      </c>
      <c r="F1952" t="s">
        <v>24</v>
      </c>
      <c r="G1952">
        <v>43</v>
      </c>
      <c r="H1952" s="13">
        <v>49430</v>
      </c>
      <c r="I1952" s="13">
        <v>15956</v>
      </c>
      <c r="J1952" t="s">
        <v>26</v>
      </c>
      <c r="K1952" s="13">
        <f>HR_Data[[#This Row],[Salary]]+HR_Data[[#This Row],[Bonus]]</f>
        <v>65386</v>
      </c>
    </row>
    <row r="1953" spans="1:11" x14ac:dyDescent="0.25">
      <c r="A1953">
        <v>2952</v>
      </c>
      <c r="B1953" t="s">
        <v>1993</v>
      </c>
      <c r="C1953" t="s">
        <v>10</v>
      </c>
      <c r="D1953" t="s">
        <v>15</v>
      </c>
      <c r="E1953" t="s">
        <v>17</v>
      </c>
      <c r="F1953" t="s">
        <v>22</v>
      </c>
      <c r="G1953">
        <v>26</v>
      </c>
      <c r="H1953" s="13">
        <v>48834</v>
      </c>
      <c r="I1953" s="13">
        <v>26303</v>
      </c>
      <c r="J1953" t="s">
        <v>25</v>
      </c>
      <c r="K1953" s="13">
        <f>HR_Data[[#This Row],[Salary]]+HR_Data[[#This Row],[Bonus]]</f>
        <v>75137</v>
      </c>
    </row>
    <row r="1954" spans="1:11" x14ac:dyDescent="0.25">
      <c r="A1954">
        <v>2953</v>
      </c>
      <c r="B1954" t="s">
        <v>1994</v>
      </c>
      <c r="C1954" t="s">
        <v>11</v>
      </c>
      <c r="D1954" t="s">
        <v>14</v>
      </c>
      <c r="E1954" t="s">
        <v>19</v>
      </c>
      <c r="F1954" t="s">
        <v>21</v>
      </c>
      <c r="G1954">
        <v>25</v>
      </c>
      <c r="H1954" s="13">
        <v>44435</v>
      </c>
      <c r="I1954" s="13">
        <v>28459</v>
      </c>
      <c r="J1954" t="s">
        <v>25</v>
      </c>
      <c r="K1954" s="13">
        <f>HR_Data[[#This Row],[Salary]]+HR_Data[[#This Row],[Bonus]]</f>
        <v>72894</v>
      </c>
    </row>
    <row r="1955" spans="1:11" x14ac:dyDescent="0.25">
      <c r="A1955">
        <v>2954</v>
      </c>
      <c r="B1955" t="s">
        <v>1995</v>
      </c>
      <c r="C1955" t="s">
        <v>10</v>
      </c>
      <c r="D1955" t="s">
        <v>14</v>
      </c>
      <c r="E1955" t="s">
        <v>18</v>
      </c>
      <c r="F1955" t="s">
        <v>21</v>
      </c>
      <c r="G1955">
        <v>57</v>
      </c>
      <c r="H1955" s="13">
        <v>107212</v>
      </c>
      <c r="I1955" s="13">
        <v>8765</v>
      </c>
      <c r="J1955" t="s">
        <v>26</v>
      </c>
      <c r="K1955" s="13">
        <f>HR_Data[[#This Row],[Salary]]+HR_Data[[#This Row],[Bonus]]</f>
        <v>115977</v>
      </c>
    </row>
    <row r="1956" spans="1:11" x14ac:dyDescent="0.25">
      <c r="A1956">
        <v>2955</v>
      </c>
      <c r="B1956" t="s">
        <v>1996</v>
      </c>
      <c r="C1956" t="s">
        <v>11</v>
      </c>
      <c r="D1956" t="s">
        <v>14</v>
      </c>
      <c r="E1956" t="s">
        <v>20</v>
      </c>
      <c r="F1956" t="s">
        <v>24</v>
      </c>
      <c r="G1956">
        <v>27</v>
      </c>
      <c r="H1956" s="13">
        <v>75797</v>
      </c>
      <c r="I1956" s="13">
        <v>28466</v>
      </c>
      <c r="J1956" t="s">
        <v>25</v>
      </c>
      <c r="K1956" s="13">
        <f>HR_Data[[#This Row],[Salary]]+HR_Data[[#This Row],[Bonus]]</f>
        <v>104263</v>
      </c>
    </row>
    <row r="1957" spans="1:11" x14ac:dyDescent="0.25">
      <c r="A1957">
        <v>2956</v>
      </c>
      <c r="B1957" t="s">
        <v>1997</v>
      </c>
      <c r="C1957" t="s">
        <v>10</v>
      </c>
      <c r="D1957" t="s">
        <v>14</v>
      </c>
      <c r="E1957" t="s">
        <v>17</v>
      </c>
      <c r="F1957" t="s">
        <v>22</v>
      </c>
      <c r="G1957">
        <v>42</v>
      </c>
      <c r="H1957" s="13">
        <v>63554</v>
      </c>
      <c r="I1957" s="13">
        <v>7827</v>
      </c>
      <c r="J1957" t="s">
        <v>25</v>
      </c>
      <c r="K1957" s="13">
        <f>HR_Data[[#This Row],[Salary]]+HR_Data[[#This Row],[Bonus]]</f>
        <v>71381</v>
      </c>
    </row>
    <row r="1958" spans="1:11" x14ac:dyDescent="0.25">
      <c r="A1958">
        <v>2957</v>
      </c>
      <c r="B1958" t="s">
        <v>1998</v>
      </c>
      <c r="C1958" t="s">
        <v>10</v>
      </c>
      <c r="D1958" t="s">
        <v>15</v>
      </c>
      <c r="E1958" t="s">
        <v>17</v>
      </c>
      <c r="F1958" t="s">
        <v>21</v>
      </c>
      <c r="G1958">
        <v>34</v>
      </c>
      <c r="H1958" s="13">
        <v>74555</v>
      </c>
      <c r="I1958" s="13">
        <v>7058</v>
      </c>
      <c r="J1958" t="s">
        <v>26</v>
      </c>
      <c r="K1958" s="13">
        <f>HR_Data[[#This Row],[Salary]]+HR_Data[[#This Row],[Bonus]]</f>
        <v>81613</v>
      </c>
    </row>
    <row r="1959" spans="1:11" x14ac:dyDescent="0.25">
      <c r="A1959">
        <v>2958</v>
      </c>
      <c r="B1959" t="s">
        <v>1999</v>
      </c>
      <c r="C1959" t="s">
        <v>10</v>
      </c>
      <c r="D1959" t="s">
        <v>15</v>
      </c>
      <c r="E1959" t="s">
        <v>18</v>
      </c>
      <c r="F1959" t="s">
        <v>23</v>
      </c>
      <c r="G1959">
        <v>58</v>
      </c>
      <c r="H1959" s="13">
        <v>105350</v>
      </c>
      <c r="I1959" s="13">
        <v>29133</v>
      </c>
      <c r="J1959" t="s">
        <v>26</v>
      </c>
      <c r="K1959" s="13">
        <f>HR_Data[[#This Row],[Salary]]+HR_Data[[#This Row],[Bonus]]</f>
        <v>134483</v>
      </c>
    </row>
    <row r="1960" spans="1:11" x14ac:dyDescent="0.25">
      <c r="A1960">
        <v>2959</v>
      </c>
      <c r="B1960" t="s">
        <v>2000</v>
      </c>
      <c r="C1960" t="s">
        <v>27</v>
      </c>
      <c r="D1960" t="s">
        <v>15</v>
      </c>
      <c r="E1960" t="s">
        <v>17</v>
      </c>
      <c r="F1960" t="s">
        <v>24</v>
      </c>
      <c r="G1960">
        <v>46</v>
      </c>
      <c r="H1960" s="13">
        <v>34716</v>
      </c>
      <c r="I1960" s="13">
        <v>16519</v>
      </c>
      <c r="J1960" t="s">
        <v>25</v>
      </c>
      <c r="K1960" s="13">
        <f>HR_Data[[#This Row],[Salary]]+HR_Data[[#This Row],[Bonus]]</f>
        <v>51235</v>
      </c>
    </row>
    <row r="1961" spans="1:11" x14ac:dyDescent="0.25">
      <c r="A1961">
        <v>2960</v>
      </c>
      <c r="B1961" t="s">
        <v>2001</v>
      </c>
      <c r="C1961" t="s">
        <v>13</v>
      </c>
      <c r="D1961" t="s">
        <v>14</v>
      </c>
      <c r="E1961" t="s">
        <v>19</v>
      </c>
      <c r="F1961" t="s">
        <v>21</v>
      </c>
      <c r="G1961">
        <v>47</v>
      </c>
      <c r="H1961" s="13">
        <v>80261</v>
      </c>
      <c r="I1961" s="13">
        <v>5730</v>
      </c>
      <c r="J1961" t="s">
        <v>25</v>
      </c>
      <c r="K1961" s="13">
        <f>HR_Data[[#This Row],[Salary]]+HR_Data[[#This Row],[Bonus]]</f>
        <v>85991</v>
      </c>
    </row>
    <row r="1962" spans="1:11" x14ac:dyDescent="0.25">
      <c r="A1962">
        <v>2961</v>
      </c>
      <c r="B1962" t="s">
        <v>2002</v>
      </c>
      <c r="C1962" t="s">
        <v>12</v>
      </c>
      <c r="D1962" t="s">
        <v>15</v>
      </c>
      <c r="E1962" t="s">
        <v>19</v>
      </c>
      <c r="F1962" t="s">
        <v>21</v>
      </c>
      <c r="G1962">
        <v>41</v>
      </c>
      <c r="H1962" s="13">
        <v>47528</v>
      </c>
      <c r="I1962" s="13">
        <v>6832</v>
      </c>
      <c r="J1962" t="s">
        <v>25</v>
      </c>
      <c r="K1962" s="13">
        <f>HR_Data[[#This Row],[Salary]]+HR_Data[[#This Row],[Bonus]]</f>
        <v>54360</v>
      </c>
    </row>
    <row r="1963" spans="1:11" x14ac:dyDescent="0.25">
      <c r="A1963">
        <v>2962</v>
      </c>
      <c r="B1963" t="s">
        <v>2003</v>
      </c>
      <c r="C1963" t="s">
        <v>9</v>
      </c>
      <c r="D1963" t="s">
        <v>15</v>
      </c>
      <c r="E1963" t="s">
        <v>17</v>
      </c>
      <c r="F1963" t="s">
        <v>24</v>
      </c>
      <c r="G1963">
        <v>54</v>
      </c>
      <c r="H1963" s="13">
        <v>21995</v>
      </c>
      <c r="I1963" s="13">
        <v>13600</v>
      </c>
      <c r="J1963" t="s">
        <v>26</v>
      </c>
      <c r="K1963" s="13">
        <f>HR_Data[[#This Row],[Salary]]+HR_Data[[#This Row],[Bonus]]</f>
        <v>35595</v>
      </c>
    </row>
    <row r="1964" spans="1:11" x14ac:dyDescent="0.25">
      <c r="A1964">
        <v>2963</v>
      </c>
      <c r="B1964" t="s">
        <v>2004</v>
      </c>
      <c r="C1964" t="s">
        <v>2042</v>
      </c>
      <c r="D1964" t="s">
        <v>14</v>
      </c>
      <c r="E1964" t="s">
        <v>18</v>
      </c>
      <c r="F1964" t="s">
        <v>24</v>
      </c>
      <c r="G1964">
        <v>35</v>
      </c>
      <c r="H1964" s="13">
        <v>42414</v>
      </c>
      <c r="I1964" s="13">
        <v>27889</v>
      </c>
      <c r="J1964" t="s">
        <v>26</v>
      </c>
      <c r="K1964" s="13">
        <f>HR_Data[[#This Row],[Salary]]+HR_Data[[#This Row],[Bonus]]</f>
        <v>70303</v>
      </c>
    </row>
    <row r="1965" spans="1:11" x14ac:dyDescent="0.25">
      <c r="A1965">
        <v>2964</v>
      </c>
      <c r="B1965" t="s">
        <v>2005</v>
      </c>
      <c r="C1965" t="s">
        <v>9</v>
      </c>
      <c r="D1965" t="s">
        <v>14</v>
      </c>
      <c r="E1965" t="s">
        <v>18</v>
      </c>
      <c r="F1965" t="s">
        <v>23</v>
      </c>
      <c r="G1965">
        <v>57</v>
      </c>
      <c r="H1965" s="13">
        <v>33844</v>
      </c>
      <c r="I1965" s="13">
        <v>20618</v>
      </c>
      <c r="J1965" t="s">
        <v>25</v>
      </c>
      <c r="K1965" s="13">
        <f>HR_Data[[#This Row],[Salary]]+HR_Data[[#This Row],[Bonus]]</f>
        <v>54462</v>
      </c>
    </row>
    <row r="1966" spans="1:11" x14ac:dyDescent="0.25">
      <c r="A1966">
        <v>2965</v>
      </c>
      <c r="B1966" t="s">
        <v>2006</v>
      </c>
      <c r="C1966" t="s">
        <v>9</v>
      </c>
      <c r="D1966" t="s">
        <v>15</v>
      </c>
      <c r="E1966" t="s">
        <v>18</v>
      </c>
      <c r="F1966" t="s">
        <v>23</v>
      </c>
      <c r="G1966">
        <v>38</v>
      </c>
      <c r="H1966" s="13">
        <v>56659</v>
      </c>
      <c r="I1966" s="13">
        <v>12170</v>
      </c>
      <c r="J1966" t="s">
        <v>25</v>
      </c>
      <c r="K1966" s="13">
        <f>HR_Data[[#This Row],[Salary]]+HR_Data[[#This Row],[Bonus]]</f>
        <v>68829</v>
      </c>
    </row>
    <row r="1967" spans="1:11" x14ac:dyDescent="0.25">
      <c r="A1967">
        <v>2966</v>
      </c>
      <c r="B1967" t="s">
        <v>2007</v>
      </c>
      <c r="C1967" t="s">
        <v>11</v>
      </c>
      <c r="D1967" t="s">
        <v>14</v>
      </c>
      <c r="E1967" t="s">
        <v>16</v>
      </c>
      <c r="F1967" t="s">
        <v>21</v>
      </c>
      <c r="G1967">
        <v>42</v>
      </c>
      <c r="H1967" s="13">
        <v>35522</v>
      </c>
      <c r="I1967" s="13">
        <v>9179</v>
      </c>
      <c r="J1967" t="s">
        <v>25</v>
      </c>
      <c r="K1967" s="13">
        <f>HR_Data[[#This Row],[Salary]]+HR_Data[[#This Row],[Bonus]]</f>
        <v>44701</v>
      </c>
    </row>
    <row r="1968" spans="1:11" x14ac:dyDescent="0.25">
      <c r="A1968">
        <v>2967</v>
      </c>
      <c r="B1968" t="s">
        <v>2008</v>
      </c>
      <c r="C1968" t="s">
        <v>12</v>
      </c>
      <c r="D1968" t="s">
        <v>14</v>
      </c>
      <c r="E1968" t="s">
        <v>17</v>
      </c>
      <c r="F1968" t="s">
        <v>21</v>
      </c>
      <c r="G1968">
        <v>37</v>
      </c>
      <c r="H1968" s="13">
        <v>94034</v>
      </c>
      <c r="I1968" s="13">
        <v>11299</v>
      </c>
      <c r="J1968" t="s">
        <v>25</v>
      </c>
      <c r="K1968" s="13">
        <f>HR_Data[[#This Row],[Salary]]+HR_Data[[#This Row],[Bonus]]</f>
        <v>105333</v>
      </c>
    </row>
    <row r="1969" spans="1:11" x14ac:dyDescent="0.25">
      <c r="A1969">
        <v>2968</v>
      </c>
      <c r="B1969" t="s">
        <v>2009</v>
      </c>
      <c r="C1969" t="s">
        <v>11</v>
      </c>
      <c r="D1969" t="s">
        <v>14</v>
      </c>
      <c r="E1969" t="s">
        <v>18</v>
      </c>
      <c r="F1969" t="s">
        <v>24</v>
      </c>
      <c r="G1969">
        <v>37</v>
      </c>
      <c r="H1969" s="13">
        <v>62322</v>
      </c>
      <c r="I1969" s="13">
        <v>12830</v>
      </c>
      <c r="J1969" t="s">
        <v>26</v>
      </c>
      <c r="K1969" s="13">
        <f>HR_Data[[#This Row],[Salary]]+HR_Data[[#This Row],[Bonus]]</f>
        <v>75152</v>
      </c>
    </row>
    <row r="1970" spans="1:11" x14ac:dyDescent="0.25">
      <c r="A1970">
        <v>2969</v>
      </c>
      <c r="B1970" t="s">
        <v>2010</v>
      </c>
      <c r="C1970" t="s">
        <v>12</v>
      </c>
      <c r="D1970" t="s">
        <v>14</v>
      </c>
      <c r="E1970" t="s">
        <v>19</v>
      </c>
      <c r="F1970" t="s">
        <v>21</v>
      </c>
      <c r="G1970">
        <v>41</v>
      </c>
      <c r="H1970" s="13">
        <v>87638</v>
      </c>
      <c r="I1970" s="13">
        <v>16439</v>
      </c>
      <c r="J1970" t="s">
        <v>25</v>
      </c>
      <c r="K1970" s="13">
        <f>HR_Data[[#This Row],[Salary]]+HR_Data[[#This Row],[Bonus]]</f>
        <v>104077</v>
      </c>
    </row>
    <row r="1971" spans="1:11" x14ac:dyDescent="0.25">
      <c r="A1971">
        <v>2970</v>
      </c>
      <c r="B1971" t="s">
        <v>2011</v>
      </c>
      <c r="C1971" t="s">
        <v>12</v>
      </c>
      <c r="D1971" t="s">
        <v>15</v>
      </c>
      <c r="E1971" t="s">
        <v>20</v>
      </c>
      <c r="F1971" t="s">
        <v>21</v>
      </c>
      <c r="G1971">
        <v>50</v>
      </c>
      <c r="H1971" s="13">
        <v>28524</v>
      </c>
      <c r="I1971" s="13">
        <v>9802</v>
      </c>
      <c r="J1971" t="s">
        <v>25</v>
      </c>
      <c r="K1971" s="13">
        <f>HR_Data[[#This Row],[Salary]]+HR_Data[[#This Row],[Bonus]]</f>
        <v>38326</v>
      </c>
    </row>
    <row r="1972" spans="1:11" x14ac:dyDescent="0.25">
      <c r="A1972">
        <v>2971</v>
      </c>
      <c r="B1972" t="s">
        <v>2012</v>
      </c>
      <c r="C1972" t="s">
        <v>10</v>
      </c>
      <c r="D1972" t="s">
        <v>14</v>
      </c>
      <c r="E1972" t="s">
        <v>20</v>
      </c>
      <c r="F1972" t="s">
        <v>24</v>
      </c>
      <c r="G1972">
        <v>49</v>
      </c>
      <c r="H1972" s="13">
        <v>50846</v>
      </c>
      <c r="I1972" s="13">
        <v>27441</v>
      </c>
      <c r="J1972" t="s">
        <v>25</v>
      </c>
      <c r="K1972" s="13">
        <f>HR_Data[[#This Row],[Salary]]+HR_Data[[#This Row],[Bonus]]</f>
        <v>78287</v>
      </c>
    </row>
    <row r="1973" spans="1:11" x14ac:dyDescent="0.25">
      <c r="A1973">
        <v>2972</v>
      </c>
      <c r="B1973" t="s">
        <v>2013</v>
      </c>
      <c r="C1973" t="s">
        <v>8</v>
      </c>
      <c r="D1973" t="s">
        <v>14</v>
      </c>
      <c r="E1973" t="s">
        <v>18</v>
      </c>
      <c r="F1973" t="s">
        <v>21</v>
      </c>
      <c r="G1973">
        <v>29</v>
      </c>
      <c r="H1973" s="13">
        <v>93643</v>
      </c>
      <c r="I1973" s="13">
        <v>11615</v>
      </c>
      <c r="J1973" t="s">
        <v>25</v>
      </c>
      <c r="K1973" s="13">
        <f>HR_Data[[#This Row],[Salary]]+HR_Data[[#This Row],[Bonus]]</f>
        <v>105258</v>
      </c>
    </row>
    <row r="1974" spans="1:11" x14ac:dyDescent="0.25">
      <c r="A1974">
        <v>2973</v>
      </c>
      <c r="B1974" t="s">
        <v>2014</v>
      </c>
      <c r="C1974" t="s">
        <v>10</v>
      </c>
      <c r="D1974" t="s">
        <v>14</v>
      </c>
      <c r="E1974" t="s">
        <v>20</v>
      </c>
      <c r="F1974" t="s">
        <v>21</v>
      </c>
      <c r="G1974">
        <v>45</v>
      </c>
      <c r="H1974" s="13">
        <v>80096</v>
      </c>
      <c r="I1974" s="13">
        <v>11762</v>
      </c>
      <c r="J1974" t="s">
        <v>27</v>
      </c>
      <c r="K1974" s="13">
        <f>HR_Data[[#This Row],[Salary]]+HR_Data[[#This Row],[Bonus]]</f>
        <v>91858</v>
      </c>
    </row>
    <row r="1975" spans="1:11" x14ac:dyDescent="0.25">
      <c r="A1975">
        <v>2974</v>
      </c>
      <c r="B1975" t="s">
        <v>2015</v>
      </c>
      <c r="C1975" t="s">
        <v>8</v>
      </c>
      <c r="D1975" t="s">
        <v>14</v>
      </c>
      <c r="E1975" t="s">
        <v>20</v>
      </c>
      <c r="F1975" t="s">
        <v>22</v>
      </c>
      <c r="G1975">
        <v>24</v>
      </c>
      <c r="H1975" s="13">
        <v>103804</v>
      </c>
      <c r="I1975" s="13">
        <v>10543</v>
      </c>
      <c r="J1975" t="s">
        <v>26</v>
      </c>
      <c r="K1975" s="13">
        <f>HR_Data[[#This Row],[Salary]]+HR_Data[[#This Row],[Bonus]]</f>
        <v>114347</v>
      </c>
    </row>
    <row r="1976" spans="1:11" x14ac:dyDescent="0.25">
      <c r="A1976">
        <v>2975</v>
      </c>
      <c r="B1976" t="s">
        <v>2016</v>
      </c>
      <c r="C1976" t="s">
        <v>11</v>
      </c>
      <c r="D1976" t="s">
        <v>14</v>
      </c>
      <c r="E1976" t="s">
        <v>16</v>
      </c>
      <c r="F1976" t="s">
        <v>23</v>
      </c>
      <c r="G1976">
        <v>46</v>
      </c>
      <c r="H1976" s="13">
        <v>67703</v>
      </c>
      <c r="I1976" s="13">
        <v>29709</v>
      </c>
      <c r="J1976" t="s">
        <v>25</v>
      </c>
      <c r="K1976" s="13">
        <f>HR_Data[[#This Row],[Salary]]+HR_Data[[#This Row],[Bonus]]</f>
        <v>97412</v>
      </c>
    </row>
    <row r="1977" spans="1:11" x14ac:dyDescent="0.25">
      <c r="A1977">
        <v>2976</v>
      </c>
      <c r="B1977" t="s">
        <v>2017</v>
      </c>
      <c r="C1977" t="s">
        <v>8</v>
      </c>
      <c r="D1977" t="s">
        <v>14</v>
      </c>
      <c r="E1977" t="s">
        <v>19</v>
      </c>
      <c r="F1977" t="s">
        <v>24</v>
      </c>
      <c r="G1977">
        <v>40</v>
      </c>
      <c r="H1977" s="13">
        <v>44399</v>
      </c>
      <c r="I1977" s="13">
        <v>9883</v>
      </c>
      <c r="J1977" t="s">
        <v>25</v>
      </c>
      <c r="K1977" s="13">
        <f>HR_Data[[#This Row],[Salary]]+HR_Data[[#This Row],[Bonus]]</f>
        <v>54282</v>
      </c>
    </row>
    <row r="1978" spans="1:11" x14ac:dyDescent="0.25">
      <c r="A1978">
        <v>2977</v>
      </c>
      <c r="B1978" t="s">
        <v>2018</v>
      </c>
      <c r="C1978" t="s">
        <v>11</v>
      </c>
      <c r="D1978" t="s">
        <v>14</v>
      </c>
      <c r="E1978" t="s">
        <v>19</v>
      </c>
      <c r="F1978" t="s">
        <v>22</v>
      </c>
      <c r="G1978">
        <v>54</v>
      </c>
      <c r="H1978" s="13">
        <v>95160</v>
      </c>
      <c r="I1978" s="13">
        <v>28434</v>
      </c>
      <c r="J1978" t="s">
        <v>25</v>
      </c>
      <c r="K1978" s="13">
        <f>HR_Data[[#This Row],[Salary]]+HR_Data[[#This Row],[Bonus]]</f>
        <v>123594</v>
      </c>
    </row>
    <row r="1979" spans="1:11" x14ac:dyDescent="0.25">
      <c r="A1979">
        <v>2978</v>
      </c>
      <c r="B1979" t="s">
        <v>2019</v>
      </c>
      <c r="C1979" t="s">
        <v>9</v>
      </c>
      <c r="D1979" t="s">
        <v>14</v>
      </c>
      <c r="E1979" t="s">
        <v>16</v>
      </c>
      <c r="F1979" t="s">
        <v>23</v>
      </c>
      <c r="G1979">
        <v>23</v>
      </c>
      <c r="H1979" s="13">
        <v>112662</v>
      </c>
      <c r="I1979" s="13">
        <v>26343</v>
      </c>
      <c r="J1979" t="s">
        <v>25</v>
      </c>
      <c r="K1979" s="13">
        <f>HR_Data[[#This Row],[Salary]]+HR_Data[[#This Row],[Bonus]]</f>
        <v>139005</v>
      </c>
    </row>
    <row r="1980" spans="1:11" x14ac:dyDescent="0.25">
      <c r="A1980">
        <v>2979</v>
      </c>
      <c r="B1980" t="s">
        <v>2020</v>
      </c>
      <c r="C1980" t="s">
        <v>9</v>
      </c>
      <c r="D1980" t="s">
        <v>15</v>
      </c>
      <c r="E1980" t="s">
        <v>16</v>
      </c>
      <c r="F1980" t="s">
        <v>23</v>
      </c>
      <c r="G1980">
        <v>36</v>
      </c>
      <c r="H1980" s="13">
        <v>108667</v>
      </c>
      <c r="I1980" s="13">
        <v>20739</v>
      </c>
      <c r="J1980" t="s">
        <v>25</v>
      </c>
      <c r="K1980" s="13">
        <f>HR_Data[[#This Row],[Salary]]+HR_Data[[#This Row],[Bonus]]</f>
        <v>129406</v>
      </c>
    </row>
    <row r="1981" spans="1:11" x14ac:dyDescent="0.25">
      <c r="A1981">
        <v>2980</v>
      </c>
      <c r="B1981" t="s">
        <v>2021</v>
      </c>
      <c r="C1981" t="s">
        <v>8</v>
      </c>
      <c r="D1981" t="s">
        <v>14</v>
      </c>
      <c r="E1981" t="s">
        <v>20</v>
      </c>
      <c r="F1981" t="s">
        <v>23</v>
      </c>
      <c r="G1981">
        <v>43</v>
      </c>
      <c r="H1981" s="13">
        <v>68591</v>
      </c>
      <c r="I1981" s="13">
        <v>5666</v>
      </c>
      <c r="J1981" t="s">
        <v>25</v>
      </c>
      <c r="K1981" s="13">
        <f>HR_Data[[#This Row],[Salary]]+HR_Data[[#This Row],[Bonus]]</f>
        <v>74257</v>
      </c>
    </row>
    <row r="1982" spans="1:11" x14ac:dyDescent="0.25">
      <c r="A1982">
        <v>2981</v>
      </c>
      <c r="B1982" t="s">
        <v>2022</v>
      </c>
      <c r="C1982" t="s">
        <v>8</v>
      </c>
      <c r="D1982" t="s">
        <v>15</v>
      </c>
      <c r="E1982" t="s">
        <v>17</v>
      </c>
      <c r="F1982" t="s">
        <v>22</v>
      </c>
      <c r="G1982">
        <v>31</v>
      </c>
      <c r="H1982" s="13">
        <v>40714</v>
      </c>
      <c r="I1982" s="13">
        <v>5276</v>
      </c>
      <c r="J1982" t="s">
        <v>26</v>
      </c>
      <c r="K1982" s="13">
        <f>HR_Data[[#This Row],[Salary]]+HR_Data[[#This Row],[Bonus]]</f>
        <v>45990</v>
      </c>
    </row>
    <row r="1983" spans="1:11" x14ac:dyDescent="0.25">
      <c r="A1983">
        <v>2982</v>
      </c>
      <c r="B1983" t="s">
        <v>2023</v>
      </c>
      <c r="C1983" t="s">
        <v>11</v>
      </c>
      <c r="D1983" t="s">
        <v>14</v>
      </c>
      <c r="E1983" t="s">
        <v>20</v>
      </c>
      <c r="F1983" t="s">
        <v>22</v>
      </c>
      <c r="G1983">
        <v>39</v>
      </c>
      <c r="H1983" s="13">
        <v>69554.53</v>
      </c>
      <c r="I1983" s="13">
        <v>19063</v>
      </c>
      <c r="J1983" t="s">
        <v>25</v>
      </c>
      <c r="K1983" s="13">
        <f>HR_Data[[#This Row],[Salary]]+HR_Data[[#This Row],[Bonus]]</f>
        <v>88617.53</v>
      </c>
    </row>
    <row r="1984" spans="1:11" x14ac:dyDescent="0.25">
      <c r="A1984">
        <v>2983</v>
      </c>
      <c r="B1984" t="s">
        <v>2024</v>
      </c>
      <c r="C1984" t="s">
        <v>10</v>
      </c>
      <c r="D1984" t="s">
        <v>14</v>
      </c>
      <c r="E1984" t="s">
        <v>16</v>
      </c>
      <c r="F1984" t="s">
        <v>23</v>
      </c>
      <c r="G1984">
        <v>43</v>
      </c>
      <c r="H1984" s="13">
        <v>104106</v>
      </c>
      <c r="I1984" s="13">
        <v>5881</v>
      </c>
      <c r="J1984" t="s">
        <v>25</v>
      </c>
      <c r="K1984" s="13">
        <f>HR_Data[[#This Row],[Salary]]+HR_Data[[#This Row],[Bonus]]</f>
        <v>109987</v>
      </c>
    </row>
    <row r="1985" spans="1:11" x14ac:dyDescent="0.25">
      <c r="A1985">
        <v>2984</v>
      </c>
      <c r="B1985" t="s">
        <v>2025</v>
      </c>
      <c r="C1985" t="s">
        <v>11</v>
      </c>
      <c r="D1985" t="s">
        <v>14</v>
      </c>
      <c r="E1985" t="s">
        <v>19</v>
      </c>
      <c r="F1985" t="s">
        <v>21</v>
      </c>
      <c r="G1985">
        <v>48</v>
      </c>
      <c r="H1985" s="13">
        <v>98018</v>
      </c>
      <c r="I1985" s="13">
        <v>7060</v>
      </c>
      <c r="J1985" t="s">
        <v>25</v>
      </c>
      <c r="K1985" s="13">
        <f>HR_Data[[#This Row],[Salary]]+HR_Data[[#This Row],[Bonus]]</f>
        <v>105078</v>
      </c>
    </row>
    <row r="1986" spans="1:11" x14ac:dyDescent="0.25">
      <c r="A1986">
        <v>2985</v>
      </c>
      <c r="B1986" t="s">
        <v>2026</v>
      </c>
      <c r="C1986" t="s">
        <v>10</v>
      </c>
      <c r="D1986" t="s">
        <v>15</v>
      </c>
      <c r="E1986" t="s">
        <v>20</v>
      </c>
      <c r="F1986" t="s">
        <v>21</v>
      </c>
      <c r="G1986">
        <v>34</v>
      </c>
      <c r="H1986" s="13">
        <v>119854</v>
      </c>
      <c r="I1986" s="13">
        <v>19677</v>
      </c>
      <c r="J1986" t="s">
        <v>25</v>
      </c>
      <c r="K1986" s="13">
        <f>HR_Data[[#This Row],[Salary]]+HR_Data[[#This Row],[Bonus]]</f>
        <v>139531</v>
      </c>
    </row>
    <row r="1987" spans="1:11" x14ac:dyDescent="0.25">
      <c r="A1987">
        <v>2986</v>
      </c>
      <c r="B1987" t="s">
        <v>2027</v>
      </c>
      <c r="C1987" t="s">
        <v>9</v>
      </c>
      <c r="D1987" t="s">
        <v>15</v>
      </c>
      <c r="E1987" t="s">
        <v>17</v>
      </c>
      <c r="F1987" t="s">
        <v>22</v>
      </c>
      <c r="G1987">
        <v>54</v>
      </c>
      <c r="H1987" s="13">
        <v>79136</v>
      </c>
      <c r="I1987" s="13">
        <v>23466</v>
      </c>
      <c r="J1987" t="s">
        <v>26</v>
      </c>
      <c r="K1987" s="13">
        <f>HR_Data[[#This Row],[Salary]]+HR_Data[[#This Row],[Bonus]]</f>
        <v>102602</v>
      </c>
    </row>
    <row r="1988" spans="1:11" x14ac:dyDescent="0.25">
      <c r="A1988">
        <v>2987</v>
      </c>
      <c r="B1988" t="s">
        <v>2028</v>
      </c>
      <c r="C1988" t="s">
        <v>12</v>
      </c>
      <c r="D1988" t="s">
        <v>27</v>
      </c>
      <c r="E1988" t="s">
        <v>20</v>
      </c>
      <c r="F1988" t="s">
        <v>22</v>
      </c>
      <c r="G1988">
        <v>26</v>
      </c>
      <c r="H1988" s="13">
        <v>53414</v>
      </c>
      <c r="I1988" s="13">
        <v>11702</v>
      </c>
      <c r="J1988" t="s">
        <v>25</v>
      </c>
      <c r="K1988" s="13">
        <f>HR_Data[[#This Row],[Salary]]+HR_Data[[#This Row],[Bonus]]</f>
        <v>65116</v>
      </c>
    </row>
    <row r="1989" spans="1:11" x14ac:dyDescent="0.25">
      <c r="A1989">
        <v>2988</v>
      </c>
      <c r="B1989" t="s">
        <v>2029</v>
      </c>
      <c r="C1989" t="s">
        <v>8</v>
      </c>
      <c r="D1989" t="s">
        <v>14</v>
      </c>
      <c r="E1989" t="s">
        <v>18</v>
      </c>
      <c r="F1989" t="s">
        <v>22</v>
      </c>
      <c r="G1989">
        <v>47</v>
      </c>
      <c r="H1989" s="13">
        <v>106576</v>
      </c>
      <c r="I1989" s="13">
        <v>14429</v>
      </c>
      <c r="J1989" t="s">
        <v>25</v>
      </c>
      <c r="K1989" s="13">
        <f>HR_Data[[#This Row],[Salary]]+HR_Data[[#This Row],[Bonus]]</f>
        <v>121005</v>
      </c>
    </row>
    <row r="1990" spans="1:11" x14ac:dyDescent="0.25">
      <c r="A1990">
        <v>2989</v>
      </c>
      <c r="B1990" t="s">
        <v>2030</v>
      </c>
      <c r="C1990" t="s">
        <v>10</v>
      </c>
      <c r="D1990" t="s">
        <v>15</v>
      </c>
      <c r="E1990" t="s">
        <v>20</v>
      </c>
      <c r="F1990" t="s">
        <v>23</v>
      </c>
      <c r="G1990">
        <v>34</v>
      </c>
      <c r="H1990" s="13">
        <v>98943</v>
      </c>
      <c r="I1990" s="13">
        <v>20853</v>
      </c>
      <c r="J1990" t="s">
        <v>25</v>
      </c>
      <c r="K1990" s="13">
        <f>HR_Data[[#This Row],[Salary]]+HR_Data[[#This Row],[Bonus]]</f>
        <v>119796</v>
      </c>
    </row>
    <row r="1991" spans="1:11" x14ac:dyDescent="0.25">
      <c r="A1991">
        <v>2990</v>
      </c>
      <c r="B1991" t="s">
        <v>2031</v>
      </c>
      <c r="C1991" t="s">
        <v>11</v>
      </c>
      <c r="D1991" t="s">
        <v>15</v>
      </c>
      <c r="E1991" t="s">
        <v>16</v>
      </c>
      <c r="F1991" t="s">
        <v>21</v>
      </c>
      <c r="G1991">
        <v>48</v>
      </c>
      <c r="H1991" s="13">
        <v>65468</v>
      </c>
      <c r="I1991" s="13">
        <v>5158</v>
      </c>
      <c r="J1991" t="s">
        <v>25</v>
      </c>
      <c r="K1991" s="13">
        <f>HR_Data[[#This Row],[Salary]]+HR_Data[[#This Row],[Bonus]]</f>
        <v>70626</v>
      </c>
    </row>
    <row r="1992" spans="1:11" x14ac:dyDescent="0.25">
      <c r="A1992">
        <v>2991</v>
      </c>
      <c r="B1992" t="s">
        <v>2032</v>
      </c>
      <c r="C1992" t="s">
        <v>9</v>
      </c>
      <c r="D1992" t="s">
        <v>14</v>
      </c>
      <c r="E1992" t="s">
        <v>19</v>
      </c>
      <c r="F1992" t="s">
        <v>22</v>
      </c>
      <c r="G1992">
        <v>35</v>
      </c>
      <c r="H1992" s="13">
        <v>118841</v>
      </c>
      <c r="I1992" s="13">
        <v>20996</v>
      </c>
      <c r="J1992" t="s">
        <v>25</v>
      </c>
      <c r="K1992" s="13">
        <f>HR_Data[[#This Row],[Salary]]+HR_Data[[#This Row],[Bonus]]</f>
        <v>139837</v>
      </c>
    </row>
    <row r="1993" spans="1:11" x14ac:dyDescent="0.25">
      <c r="A1993">
        <v>2992</v>
      </c>
      <c r="B1993" t="s">
        <v>2033</v>
      </c>
      <c r="C1993" t="s">
        <v>10</v>
      </c>
      <c r="D1993" t="s">
        <v>15</v>
      </c>
      <c r="E1993" t="s">
        <v>19</v>
      </c>
      <c r="F1993" t="s">
        <v>22</v>
      </c>
      <c r="G1993">
        <v>45</v>
      </c>
      <c r="H1993" s="13">
        <v>99702</v>
      </c>
      <c r="I1993" s="13">
        <v>10229</v>
      </c>
      <c r="J1993" t="s">
        <v>25</v>
      </c>
      <c r="K1993" s="13">
        <f>HR_Data[[#This Row],[Salary]]+HR_Data[[#This Row],[Bonus]]</f>
        <v>109931</v>
      </c>
    </row>
    <row r="1994" spans="1:11" x14ac:dyDescent="0.25">
      <c r="A1994">
        <v>2993</v>
      </c>
      <c r="B1994" t="s">
        <v>2034</v>
      </c>
      <c r="C1994" t="s">
        <v>11</v>
      </c>
      <c r="D1994" t="s">
        <v>15</v>
      </c>
      <c r="E1994" t="s">
        <v>16</v>
      </c>
      <c r="F1994" t="s">
        <v>24</v>
      </c>
      <c r="G1994">
        <v>24</v>
      </c>
      <c r="H1994" s="13">
        <v>92108</v>
      </c>
      <c r="I1994" s="13">
        <v>12956</v>
      </c>
      <c r="J1994" t="s">
        <v>25</v>
      </c>
      <c r="K1994" s="13">
        <f>HR_Data[[#This Row],[Salary]]+HR_Data[[#This Row],[Bonus]]</f>
        <v>105064</v>
      </c>
    </row>
    <row r="1995" spans="1:11" x14ac:dyDescent="0.25">
      <c r="A1995">
        <v>2994</v>
      </c>
      <c r="B1995" t="s">
        <v>2035</v>
      </c>
      <c r="C1995" t="s">
        <v>8</v>
      </c>
      <c r="D1995" t="s">
        <v>15</v>
      </c>
      <c r="E1995" t="s">
        <v>18</v>
      </c>
      <c r="F1995" t="s">
        <v>23</v>
      </c>
      <c r="G1995">
        <v>51</v>
      </c>
      <c r="H1995" s="13">
        <v>118538</v>
      </c>
      <c r="I1995" s="13">
        <v>28898</v>
      </c>
      <c r="J1995" t="s">
        <v>25</v>
      </c>
      <c r="K1995" s="13">
        <f>HR_Data[[#This Row],[Salary]]+HR_Data[[#This Row],[Bonus]]</f>
        <v>147436</v>
      </c>
    </row>
    <row r="1996" spans="1:11" x14ac:dyDescent="0.25">
      <c r="A1996">
        <v>2995</v>
      </c>
      <c r="B1996" t="s">
        <v>2036</v>
      </c>
      <c r="C1996" t="s">
        <v>8</v>
      </c>
      <c r="D1996" t="s">
        <v>14</v>
      </c>
      <c r="E1996" t="s">
        <v>16</v>
      </c>
      <c r="F1996" t="s">
        <v>24</v>
      </c>
      <c r="G1996">
        <v>56</v>
      </c>
      <c r="H1996" s="13">
        <v>112508</v>
      </c>
      <c r="I1996" s="13">
        <v>29187</v>
      </c>
      <c r="J1996" t="s">
        <v>25</v>
      </c>
      <c r="K1996" s="13">
        <f>HR_Data[[#This Row],[Salary]]+HR_Data[[#This Row],[Bonus]]</f>
        <v>141695</v>
      </c>
    </row>
    <row r="1997" spans="1:11" x14ac:dyDescent="0.25">
      <c r="A1997">
        <v>2996</v>
      </c>
      <c r="B1997" t="s">
        <v>2037</v>
      </c>
      <c r="C1997" t="s">
        <v>2042</v>
      </c>
      <c r="D1997" t="s">
        <v>14</v>
      </c>
      <c r="E1997" t="s">
        <v>20</v>
      </c>
      <c r="F1997" t="s">
        <v>21</v>
      </c>
      <c r="G1997">
        <v>35</v>
      </c>
      <c r="H1997" s="13">
        <v>66835</v>
      </c>
      <c r="I1997" s="13">
        <v>17566</v>
      </c>
      <c r="J1997" t="s">
        <v>25</v>
      </c>
      <c r="K1997" s="13">
        <f>HR_Data[[#This Row],[Salary]]+HR_Data[[#This Row],[Bonus]]</f>
        <v>84401</v>
      </c>
    </row>
    <row r="1998" spans="1:11" x14ac:dyDescent="0.25">
      <c r="A1998">
        <v>2997</v>
      </c>
      <c r="B1998" t="s">
        <v>2038</v>
      </c>
      <c r="C1998" t="s">
        <v>12</v>
      </c>
      <c r="D1998" t="s">
        <v>14</v>
      </c>
      <c r="E1998" t="s">
        <v>16</v>
      </c>
      <c r="F1998" t="s">
        <v>24</v>
      </c>
      <c r="G1998">
        <v>33</v>
      </c>
      <c r="H1998" s="13">
        <v>83333</v>
      </c>
      <c r="I1998" s="13">
        <v>7526</v>
      </c>
      <c r="J1998" t="s">
        <v>25</v>
      </c>
      <c r="K1998" s="13">
        <f>HR_Data[[#This Row],[Salary]]+HR_Data[[#This Row],[Bonus]]</f>
        <v>90859</v>
      </c>
    </row>
    <row r="1999" spans="1:11" x14ac:dyDescent="0.25">
      <c r="A1999">
        <v>2998</v>
      </c>
      <c r="B1999" t="s">
        <v>2039</v>
      </c>
      <c r="C1999" t="s">
        <v>2042</v>
      </c>
      <c r="D1999" t="s">
        <v>15</v>
      </c>
      <c r="E1999" t="s">
        <v>16</v>
      </c>
      <c r="F1999" t="s">
        <v>24</v>
      </c>
      <c r="G1999">
        <v>49</v>
      </c>
      <c r="H1999" s="13">
        <v>62464</v>
      </c>
      <c r="I1999" s="13">
        <v>29686</v>
      </c>
      <c r="J1999" t="s">
        <v>25</v>
      </c>
      <c r="K1999" s="13">
        <f>HR_Data[[#This Row],[Salary]]+HR_Data[[#This Row],[Bonus]]</f>
        <v>92150</v>
      </c>
    </row>
    <row r="2000" spans="1:11" x14ac:dyDescent="0.25">
      <c r="A2000">
        <v>2999</v>
      </c>
      <c r="B2000" t="s">
        <v>2040</v>
      </c>
      <c r="C2000" t="s">
        <v>9</v>
      </c>
      <c r="D2000" t="s">
        <v>14</v>
      </c>
      <c r="E2000" t="s">
        <v>18</v>
      </c>
      <c r="F2000" t="s">
        <v>24</v>
      </c>
      <c r="G2000">
        <v>50</v>
      </c>
      <c r="H2000" s="13">
        <v>42923</v>
      </c>
      <c r="I2000" s="13">
        <v>12803</v>
      </c>
      <c r="J2000" t="s">
        <v>25</v>
      </c>
      <c r="K2000" s="13">
        <f>HR_Data[[#This Row],[Salary]]+HR_Data[[#This Row],[Bonus]]</f>
        <v>55726</v>
      </c>
    </row>
    <row r="2001" spans="1:11" x14ac:dyDescent="0.25">
      <c r="A2001">
        <v>3000</v>
      </c>
      <c r="B2001" t="s">
        <v>2041</v>
      </c>
      <c r="C2001" t="s">
        <v>10</v>
      </c>
      <c r="D2001" t="s">
        <v>15</v>
      </c>
      <c r="E2001" t="s">
        <v>20</v>
      </c>
      <c r="F2001" t="s">
        <v>23</v>
      </c>
      <c r="G2001">
        <v>38</v>
      </c>
      <c r="H2001" s="13">
        <v>81855</v>
      </c>
      <c r="I2001" s="13">
        <v>11574</v>
      </c>
      <c r="J2001" t="s">
        <v>26</v>
      </c>
      <c r="K2001" s="13">
        <f>HR_Data[[#This Row],[Salary]]+HR_Data[[#This Row],[Bonus]]</f>
        <v>93429</v>
      </c>
    </row>
  </sheetData>
  <conditionalFormatting sqref="A1:A1048576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="84" zoomScaleNormal="84" workbookViewId="0">
      <selection sqref="A1:B8"/>
    </sheetView>
  </sheetViews>
  <sheetFormatPr defaultRowHeight="15" x14ac:dyDescent="0.25"/>
  <cols>
    <col min="1" max="1" width="30" customWidth="1"/>
    <col min="2" max="2" width="19.42578125" customWidth="1"/>
    <col min="4" max="4" width="15.85546875" customWidth="1"/>
    <col min="5" max="5" width="20.5703125" customWidth="1"/>
    <col min="7" max="7" width="13.42578125" customWidth="1"/>
    <col min="8" max="8" width="21" customWidth="1"/>
    <col min="9" max="9" width="5.28515625" customWidth="1"/>
    <col min="10" max="10" width="9.5703125" customWidth="1"/>
    <col min="11" max="11" width="11.28515625" bestFit="1" customWidth="1"/>
  </cols>
  <sheetData>
    <row r="1" spans="1:11" ht="15.75" x14ac:dyDescent="0.25">
      <c r="A1" s="30" t="s">
        <v>28</v>
      </c>
      <c r="B1" s="30" t="s">
        <v>29</v>
      </c>
    </row>
    <row r="2" spans="1:11" x14ac:dyDescent="0.25">
      <c r="A2" s="5" t="s">
        <v>30</v>
      </c>
      <c r="B2" s="14">
        <f>COUNTA(HR_Data[Employee_ID])</f>
        <v>2000</v>
      </c>
      <c r="D2" s="28" t="s">
        <v>37</v>
      </c>
      <c r="E2" s="4" t="s">
        <v>2043</v>
      </c>
      <c r="G2" s="25" t="s">
        <v>2044</v>
      </c>
      <c r="H2" s="25" t="s">
        <v>2045</v>
      </c>
      <c r="I2" s="15"/>
      <c r="J2" s="15"/>
      <c r="K2" s="15"/>
    </row>
    <row r="3" spans="1:11" x14ac:dyDescent="0.25">
      <c r="A3" s="5" t="s">
        <v>31</v>
      </c>
      <c r="B3" s="14">
        <f>COUNTIF(HR_Data[Attrition],"Yes")</f>
        <v>390</v>
      </c>
      <c r="D3" s="10" t="s">
        <v>10</v>
      </c>
      <c r="E3" s="29">
        <v>320</v>
      </c>
      <c r="G3" s="25" t="s">
        <v>37</v>
      </c>
      <c r="H3" s="15" t="s">
        <v>26</v>
      </c>
      <c r="I3" s="15" t="s">
        <v>25</v>
      </c>
      <c r="J3" s="15" t="s">
        <v>27</v>
      </c>
      <c r="K3" s="15" t="s">
        <v>38</v>
      </c>
    </row>
    <row r="4" spans="1:11" x14ac:dyDescent="0.25">
      <c r="A4" s="5" t="s">
        <v>32</v>
      </c>
      <c r="B4" s="6">
        <f>B3/B2</f>
        <v>0.19500000000000001</v>
      </c>
      <c r="D4" s="10" t="s">
        <v>12</v>
      </c>
      <c r="E4" s="29">
        <v>347</v>
      </c>
      <c r="G4" s="26" t="s">
        <v>10</v>
      </c>
      <c r="H4" s="27">
        <v>55</v>
      </c>
      <c r="I4" s="27">
        <v>258</v>
      </c>
      <c r="J4" s="27">
        <v>7</v>
      </c>
      <c r="K4" s="27">
        <v>320</v>
      </c>
    </row>
    <row r="5" spans="1:11" x14ac:dyDescent="0.25">
      <c r="A5" s="5" t="s">
        <v>33</v>
      </c>
      <c r="B5" s="7">
        <f>AVERAGE(HR_Data[Age])</f>
        <v>40.469000000000001</v>
      </c>
      <c r="D5" s="10" t="s">
        <v>9</v>
      </c>
      <c r="E5" s="29">
        <v>323</v>
      </c>
      <c r="G5" s="26" t="s">
        <v>12</v>
      </c>
      <c r="H5" s="27">
        <v>69</v>
      </c>
      <c r="I5" s="27">
        <v>271</v>
      </c>
      <c r="J5" s="27">
        <v>7</v>
      </c>
      <c r="K5" s="27">
        <v>347</v>
      </c>
    </row>
    <row r="6" spans="1:11" x14ac:dyDescent="0.25">
      <c r="A6" s="5" t="s">
        <v>34</v>
      </c>
      <c r="B6" s="8">
        <f>AVERAGE(HR_Data[Salary])</f>
        <v>69554.532455000022</v>
      </c>
      <c r="D6" s="10" t="s">
        <v>2042</v>
      </c>
      <c r="E6" s="29">
        <v>333</v>
      </c>
      <c r="G6" s="26" t="s">
        <v>9</v>
      </c>
      <c r="H6" s="27">
        <v>63</v>
      </c>
      <c r="I6" s="27">
        <v>253</v>
      </c>
      <c r="J6" s="27">
        <v>7</v>
      </c>
      <c r="K6" s="27">
        <v>323</v>
      </c>
    </row>
    <row r="7" spans="1:11" x14ac:dyDescent="0.25">
      <c r="A7" s="5" t="s">
        <v>35</v>
      </c>
      <c r="B7" s="8">
        <f>AVERAGE(HR_Data[Bonus])</f>
        <v>17676.263999999999</v>
      </c>
      <c r="D7" s="10" t="s">
        <v>11</v>
      </c>
      <c r="E7" s="29">
        <v>319</v>
      </c>
      <c r="G7" s="26" t="s">
        <v>2042</v>
      </c>
      <c r="H7" s="27">
        <v>70</v>
      </c>
      <c r="I7" s="27">
        <v>258</v>
      </c>
      <c r="J7" s="27">
        <v>5</v>
      </c>
      <c r="K7" s="27">
        <v>333</v>
      </c>
    </row>
    <row r="8" spans="1:11" ht="16.5" customHeight="1" x14ac:dyDescent="0.25">
      <c r="A8" s="5" t="s">
        <v>36</v>
      </c>
      <c r="B8" s="8">
        <f>AVERAGE(HR_Data[TotalCoMalepensation])</f>
        <v>87230.796455000032</v>
      </c>
      <c r="D8" s="10" t="s">
        <v>8</v>
      </c>
      <c r="E8" s="29">
        <v>319</v>
      </c>
      <c r="G8" s="26" t="s">
        <v>11</v>
      </c>
      <c r="H8" s="27">
        <v>59</v>
      </c>
      <c r="I8" s="27">
        <v>257</v>
      </c>
      <c r="J8" s="27">
        <v>3</v>
      </c>
      <c r="K8" s="27">
        <v>319</v>
      </c>
    </row>
    <row r="9" spans="1:11" x14ac:dyDescent="0.25">
      <c r="D9" s="10" t="s">
        <v>27</v>
      </c>
      <c r="E9" s="29">
        <v>39</v>
      </c>
      <c r="G9" s="26" t="s">
        <v>8</v>
      </c>
      <c r="H9" s="27">
        <v>68</v>
      </c>
      <c r="I9" s="27">
        <v>245</v>
      </c>
      <c r="J9" s="27">
        <v>6</v>
      </c>
      <c r="K9" s="27">
        <v>319</v>
      </c>
    </row>
    <row r="10" spans="1:11" x14ac:dyDescent="0.25">
      <c r="D10" s="10" t="s">
        <v>38</v>
      </c>
      <c r="E10" s="29">
        <v>2000</v>
      </c>
      <c r="G10" s="26" t="s">
        <v>27</v>
      </c>
      <c r="H10" s="27">
        <v>6</v>
      </c>
      <c r="I10" s="27">
        <v>28</v>
      </c>
      <c r="J10" s="27">
        <v>5</v>
      </c>
      <c r="K10" s="27">
        <v>39</v>
      </c>
    </row>
    <row r="11" spans="1:11" x14ac:dyDescent="0.25">
      <c r="G11" s="26" t="s">
        <v>38</v>
      </c>
      <c r="H11" s="27">
        <v>390</v>
      </c>
      <c r="I11" s="27">
        <v>1570</v>
      </c>
      <c r="J11" s="27">
        <v>40</v>
      </c>
      <c r="K11" s="27">
        <v>2000</v>
      </c>
    </row>
    <row r="13" spans="1:11" x14ac:dyDescent="0.25">
      <c r="A13" s="9" t="s">
        <v>37</v>
      </c>
      <c r="B13" t="s">
        <v>2044</v>
      </c>
      <c r="D13" s="9" t="s">
        <v>37</v>
      </c>
      <c r="E13" t="s">
        <v>2044</v>
      </c>
      <c r="G13" s="9" t="s">
        <v>37</v>
      </c>
      <c r="H13" t="s">
        <v>2044</v>
      </c>
    </row>
    <row r="14" spans="1:11" x14ac:dyDescent="0.25">
      <c r="A14" s="10" t="s">
        <v>15</v>
      </c>
      <c r="B14" s="11">
        <v>1003</v>
      </c>
      <c r="D14" s="10" t="s">
        <v>20</v>
      </c>
      <c r="E14" s="11">
        <v>416</v>
      </c>
      <c r="G14" s="10" t="s">
        <v>24</v>
      </c>
      <c r="H14" s="11">
        <v>509</v>
      </c>
    </row>
    <row r="15" spans="1:11" x14ac:dyDescent="0.25">
      <c r="A15" s="10" t="s">
        <v>14</v>
      </c>
      <c r="B15" s="11">
        <v>958</v>
      </c>
      <c r="D15" s="10" t="s">
        <v>17</v>
      </c>
      <c r="E15" s="11">
        <v>409</v>
      </c>
      <c r="G15" s="10" t="s">
        <v>21</v>
      </c>
      <c r="H15" s="11">
        <v>490</v>
      </c>
    </row>
    <row r="16" spans="1:11" x14ac:dyDescent="0.25">
      <c r="A16" s="10" t="s">
        <v>27</v>
      </c>
      <c r="B16" s="11">
        <v>39</v>
      </c>
      <c r="D16" s="10" t="s">
        <v>19</v>
      </c>
      <c r="E16" s="11">
        <v>387</v>
      </c>
      <c r="G16" s="10" t="s">
        <v>22</v>
      </c>
      <c r="H16" s="11">
        <v>521</v>
      </c>
    </row>
    <row r="17" spans="1:8" x14ac:dyDescent="0.25">
      <c r="A17" s="10" t="s">
        <v>38</v>
      </c>
      <c r="B17" s="11">
        <v>2000</v>
      </c>
      <c r="D17" s="10" t="s">
        <v>18</v>
      </c>
      <c r="E17" s="11">
        <v>382</v>
      </c>
      <c r="G17" s="10" t="s">
        <v>23</v>
      </c>
      <c r="H17" s="11">
        <v>480</v>
      </c>
    </row>
    <row r="18" spans="1:8" x14ac:dyDescent="0.25">
      <c r="D18" s="10" t="s">
        <v>16</v>
      </c>
      <c r="E18" s="11">
        <v>406</v>
      </c>
      <c r="G18" s="10" t="s">
        <v>38</v>
      </c>
      <c r="H18" s="11">
        <v>2000</v>
      </c>
    </row>
    <row r="19" spans="1:8" x14ac:dyDescent="0.25">
      <c r="D19" s="10" t="s">
        <v>38</v>
      </c>
      <c r="E19" s="11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="55" zoomScaleNormal="55" workbookViewId="0">
      <selection activeCell="P15" sqref="P15"/>
    </sheetView>
  </sheetViews>
  <sheetFormatPr defaultRowHeight="15" x14ac:dyDescent="0.25"/>
  <cols>
    <col min="3" max="3" width="8.7109375" customWidth="1"/>
    <col min="4" max="5" width="8.5703125" customWidth="1"/>
    <col min="6" max="7" width="10.5703125" bestFit="1" customWidth="1"/>
    <col min="10" max="10" width="9.140625" customWidth="1"/>
  </cols>
  <sheetData>
    <row r="1" spans="1:12" ht="15" customHeight="1" x14ac:dyDescent="0.25">
      <c r="A1" s="20" t="s">
        <v>2046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8" x14ac:dyDescent="0.25">
      <c r="A3" s="19" t="s">
        <v>2047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5" spans="1:12" ht="15" customHeight="1" x14ac:dyDescent="0.25">
      <c r="A5" s="22" t="s">
        <v>30</v>
      </c>
      <c r="B5" s="22"/>
      <c r="C5" s="22" t="s">
        <v>31</v>
      </c>
      <c r="D5" s="22"/>
      <c r="E5" s="22" t="s">
        <v>32</v>
      </c>
      <c r="F5" s="22"/>
      <c r="G5" s="22" t="s">
        <v>34</v>
      </c>
      <c r="H5" s="22"/>
      <c r="I5" s="22"/>
      <c r="J5" s="22" t="s">
        <v>2048</v>
      </c>
      <c r="K5" s="22"/>
      <c r="L5" s="22"/>
    </row>
    <row r="6" spans="1:12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15" customHeight="1" x14ac:dyDescent="0.25">
      <c r="A7" s="16">
        <f>Analysis!B2</f>
        <v>2000</v>
      </c>
      <c r="B7" s="16"/>
      <c r="C7" s="23">
        <f>Analysis!B3</f>
        <v>390</v>
      </c>
      <c r="D7" s="23"/>
      <c r="E7" s="24">
        <f>Analysis!B4</f>
        <v>0.19500000000000001</v>
      </c>
      <c r="F7" s="16"/>
      <c r="G7" s="21">
        <f>Analysis!B6</f>
        <v>69554.532455000022</v>
      </c>
      <c r="H7" s="21"/>
      <c r="I7" s="21"/>
      <c r="J7" s="21">
        <f>Analysis!B8</f>
        <v>87230.796455000032</v>
      </c>
      <c r="K7" s="16"/>
      <c r="L7" s="16"/>
    </row>
    <row r="8" spans="1:12" ht="15" customHeight="1" x14ac:dyDescent="0.25">
      <c r="A8" s="16"/>
      <c r="B8" s="16"/>
      <c r="C8" s="23"/>
      <c r="D8" s="23"/>
      <c r="E8" s="16"/>
      <c r="F8" s="16"/>
      <c r="G8" s="21"/>
      <c r="H8" s="21"/>
      <c r="I8" s="21"/>
      <c r="J8" s="16"/>
      <c r="K8" s="16"/>
      <c r="L8" s="16"/>
    </row>
  </sheetData>
  <mergeCells count="12">
    <mergeCell ref="A1:L2"/>
    <mergeCell ref="A3:L3"/>
    <mergeCell ref="J5:L6"/>
    <mergeCell ref="J7:L8"/>
    <mergeCell ref="G5:I6"/>
    <mergeCell ref="G7:I8"/>
    <mergeCell ref="A7:B8"/>
    <mergeCell ref="C5:D6"/>
    <mergeCell ref="C7:D8"/>
    <mergeCell ref="E5:F6"/>
    <mergeCell ref="E7:F8"/>
    <mergeCell ref="A5:B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HR_Data_Cleaned</vt:lpstr>
      <vt:lpstr>Analysis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2025-09-01T07:03:58Z</dcterms:created>
  <dcterms:modified xsi:type="dcterms:W3CDTF">2026-08-18T10:04:32Z</dcterms:modified>
</cp:coreProperties>
</file>